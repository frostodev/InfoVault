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ve0\Desktop\"/>
    </mc:Choice>
  </mc:AlternateContent>
  <xr:revisionPtr revIDLastSave="0" documentId="13_ncr:1_{0D09F1D4-69F9-4768-8E50-4B4A900EB451}" xr6:coauthVersionLast="47" xr6:coauthVersionMax="47" xr10:uidLastSave="{00000000-0000-0000-0000-000000000000}"/>
  <bookViews>
    <workbookView xWindow="-108" yWindow="-108" windowWidth="23256" windowHeight="12456" activeTab="3" xr2:uid="{2A3DE187-56A0-4DBE-A58A-07465FAFF361}"/>
  </bookViews>
  <sheets>
    <sheet name="Pauta" sheetId="3" r:id="rId1"/>
    <sheet name="Distribución SJ" sheetId="1" r:id="rId2"/>
    <sheet name="Distribución CC" sheetId="2" r:id="rId3"/>
    <sheet name="Bayron" sheetId="4" r:id="rId4"/>
    <sheet name="Daniel" sheetId="5" r:id="rId5"/>
    <sheet name="Felipe" sheetId="6" r:id="rId6"/>
    <sheet name="Dieg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/>
  <c r="W33" i="4"/>
  <c r="W31" i="4"/>
  <c r="W29" i="4"/>
  <c r="W27" i="4"/>
  <c r="W25" i="4"/>
  <c r="W23" i="4"/>
  <c r="W21" i="4"/>
  <c r="W19" i="4"/>
  <c r="W17" i="4"/>
  <c r="W15" i="4"/>
  <c r="W13" i="4"/>
  <c r="W11" i="4"/>
  <c r="W9" i="4"/>
  <c r="W7" i="4"/>
  <c r="W5" i="4"/>
  <c r="W33" i="5"/>
  <c r="W31" i="5"/>
  <c r="W29" i="5"/>
  <c r="W27" i="5"/>
  <c r="W25" i="5"/>
  <c r="W23" i="5"/>
  <c r="W21" i="5"/>
  <c r="W19" i="5"/>
  <c r="W17" i="5"/>
  <c r="W15" i="5"/>
  <c r="W13" i="5"/>
  <c r="W11" i="5"/>
  <c r="W9" i="5"/>
  <c r="W7" i="5"/>
  <c r="W5" i="5"/>
  <c r="W3" i="5"/>
  <c r="W3" i="4"/>
  <c r="W17" i="7"/>
  <c r="W15" i="7"/>
  <c r="W14" i="7"/>
  <c r="W13" i="7"/>
  <c r="W12" i="7"/>
  <c r="W10" i="7"/>
  <c r="W9" i="7"/>
  <c r="W8" i="7"/>
  <c r="W7" i="7"/>
  <c r="W6" i="7"/>
  <c r="W5" i="7"/>
  <c r="W4" i="7"/>
  <c r="W3" i="7"/>
  <c r="W18" i="6"/>
  <c r="W17" i="6"/>
  <c r="W4" i="6"/>
  <c r="W5" i="6"/>
  <c r="W6" i="6"/>
  <c r="W7" i="6"/>
  <c r="W8" i="6"/>
  <c r="W9" i="6"/>
  <c r="W10" i="6"/>
  <c r="W11" i="6"/>
  <c r="W12" i="6"/>
  <c r="W13" i="6"/>
  <c r="W14" i="6"/>
  <c r="W15" i="6"/>
  <c r="W16" i="6"/>
</calcChain>
</file>

<file path=xl/sharedStrings.xml><?xml version="1.0" encoding="utf-8"?>
<sst xmlns="http://schemas.openxmlformats.org/spreadsheetml/2006/main" count="391" uniqueCount="164">
  <si>
    <t>Puntaje</t>
  </si>
  <si>
    <t>Item</t>
  </si>
  <si>
    <t>General                 (25 puntos)</t>
  </si>
  <si>
    <t>Navegación entre secciones</t>
  </si>
  <si>
    <t>No implementa o lo implementa incorrectamente (ej: no lleva a las secciones esperadas)</t>
  </si>
  <si>
    <t>Implementa de forma correcta la navegación entre secciones</t>
  </si>
  <si>
    <t>Descuentos</t>
  </si>
  <si>
    <t>PK, FK y eliminación en cascada</t>
  </si>
  <si>
    <t>No utiliza PK o FK, ni aplica eliminación en cascada.</t>
  </si>
  <si>
    <t>Implementa PK y FK pero no eliminación en cascada</t>
  </si>
  <si>
    <t>Implementa PK, FK y eliminación en cascada</t>
  </si>
  <si>
    <t>Triggers</t>
  </si>
  <si>
    <t>No crea Triggers o lo hace con errores</t>
  </si>
  <si>
    <t>Crea al menos 1 Trigger pero no son funcionales acorde al contexto</t>
  </si>
  <si>
    <t xml:space="preserve">Crea al menos 1 Trigger que funciona correctamente. Ademas de ser util de acuerdo al contexto del problema. </t>
  </si>
  <si>
    <t>Tiene datos de prueba suficientes en la BD para probar todas las funcionalidades (se ingresa toda la información necesaria)</t>
  </si>
  <si>
    <t>Una o dos funcionalidades no tienen datos de prueba suficientes</t>
  </si>
  <si>
    <t>-</t>
  </si>
  <si>
    <t>Hay varios datos de prueba, solo unas pocas funcionalidades no se pueden probar por faltar los datos</t>
  </si>
  <si>
    <t>La BD no tiene datos de prueba o si los tiene son todos insuficentes para probar las funcionalidades</t>
  </si>
  <si>
    <t>Procedimineto almacendado</t>
  </si>
  <si>
    <t>No crea Procedimiento almacenado</t>
  </si>
  <si>
    <t>Crea al menos 1 Procedimiento almacenado pero no son funcionales acorde al contexto</t>
  </si>
  <si>
    <t xml:space="preserve">Crea al menos 1 Procedimiento almacenado que funciona correctamente. Ademas de ser util de acuerdo al contexto del problema. </t>
  </si>
  <si>
    <t>README especifica todo lo requerido para su tarea o no lo hace por que no es necesario</t>
  </si>
  <si>
    <t>No especifica algun aspecto relevante para su tarea</t>
  </si>
  <si>
    <t xml:space="preserve">No especifica varios aspectos relevantes para su tarea </t>
  </si>
  <si>
    <t>README sin especificación de cosas que hayan sido asumidas por los estudiantes</t>
  </si>
  <si>
    <t>No incluye README</t>
  </si>
  <si>
    <t>Funcion</t>
  </si>
  <si>
    <t>No lo implementa</t>
  </si>
  <si>
    <t>Crea al menos 1 Funcion pero no son funcionales acorde al contexto</t>
  </si>
  <si>
    <t>Implementa correctamente la funcion. Y es funcional de acuerdo al contexto del problema</t>
  </si>
  <si>
    <t>Pagina Principal (15 puntos)</t>
  </si>
  <si>
    <t>Barra de busqueda</t>
  </si>
  <si>
    <t>No implementa una barra de busqueda</t>
  </si>
  <si>
    <t>Implementa correctamente la barra de busqueda</t>
  </si>
  <si>
    <t>Bonus</t>
  </si>
  <si>
    <t>*Si no es para todo el bonus es parcial a ciriterio del ayudante revisor (por defecto, 0 puntos de bonus)</t>
  </si>
  <si>
    <t>Top 3 consolas y videojuegos</t>
  </si>
  <si>
    <t>No implementa el top 3 de consolas y videojuegos</t>
  </si>
  <si>
    <t>Implementa el top 3 solo para consolas o videojuegos</t>
  </si>
  <si>
    <t>Implementa correctamente el top 3 para consolas y videojuegos</t>
  </si>
  <si>
    <t>Oferta espontanea</t>
  </si>
  <si>
    <t xml:space="preserve">No implementa las ofertas espontanteas </t>
  </si>
  <si>
    <t>Implementa correctamente la oferta espontanea</t>
  </si>
  <si>
    <t>No implementa diseño en las paginas y secciones pedidas en la tarea</t>
  </si>
  <si>
    <t>Implementa lo minimo de diseño en las paginas y secciones pedidas en la tarea</t>
  </si>
  <si>
    <t>Implementa diseño en pocas paginas y secciones pedidas en la tarea</t>
  </si>
  <si>
    <t>Implementa diseño en mas de la mitad de las paginas y secciones pedidas de la tarea</t>
  </si>
  <si>
    <t xml:space="preserve">Implementa diseño de página para TODAS las páginas y secciones pedidas en la tarea. </t>
  </si>
  <si>
    <t>Busqueda avanzada (10 puntos)</t>
  </si>
  <si>
    <t xml:space="preserve">Filtros </t>
  </si>
  <si>
    <t>No crea filtros para busqueda avanzada</t>
  </si>
  <si>
    <t>Implementa algunos filtro de busqueda</t>
  </si>
  <si>
    <t>Implementa todos los filtos de busqueda solicitados</t>
  </si>
  <si>
    <t>Consolas (15 puntos)</t>
  </si>
  <si>
    <t>Sección consolas</t>
  </si>
  <si>
    <t>No implementa una sección Consolas</t>
  </si>
  <si>
    <t>Implementa una sección Consolas</t>
  </si>
  <si>
    <t>CRUD Consolas</t>
  </si>
  <si>
    <t>No lo implemena</t>
  </si>
  <si>
    <t>Implementa solo 1 funcion CRUD correctamente.</t>
  </si>
  <si>
    <t>Implementa solo 2 funciones CRUD correctamente.</t>
  </si>
  <si>
    <t>Implementa solo 3 funciones CRUD correctamente.</t>
  </si>
  <si>
    <t>Implementa las 4 opciones del CRUD, pero ignora el efecto cascada.</t>
  </si>
  <si>
    <t>Realiza con éxito CRUD en la base de datos. Considera el efecto cascada</t>
  </si>
  <si>
    <t>Videojuegos (20 puntos)</t>
  </si>
  <si>
    <t>Sección Videojuegos</t>
  </si>
  <si>
    <t>No implementa una sección Videojuegos</t>
  </si>
  <si>
    <t>Implementa una sección Videojuegos</t>
  </si>
  <si>
    <t>CRUD Videojuegos</t>
  </si>
  <si>
    <t>Calculo calificación</t>
  </si>
  <si>
    <t>No calcula de forma correcta la calificación</t>
  </si>
  <si>
    <t>Existe un calculo en la calificación pero tiene errores</t>
  </si>
  <si>
    <t>Calcula de forma correcta la calificación del juego</t>
  </si>
  <si>
    <t>Carrito (15 puntos)</t>
  </si>
  <si>
    <t>Sección Carrito</t>
  </si>
  <si>
    <t>No implementa una sección Carrito</t>
  </si>
  <si>
    <t>Implementa una sección Carrito</t>
  </si>
  <si>
    <t>CRUD Carrito</t>
  </si>
  <si>
    <t>Ayudante</t>
  </si>
  <si>
    <t>Grupo 1</t>
  </si>
  <si>
    <t>Felipe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</si>
  <si>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</si>
  <si>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</si>
  <si>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</si>
  <si>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</si>
  <si>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</si>
  <si>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</si>
  <si>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</si>
  <si>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</si>
  <si>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</si>
  <si>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</si>
  <si>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</si>
  <si>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</si>
  <si>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</si>
  <si>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</si>
  <si>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Diego</t>
  </si>
  <si>
    <t>Grupo 16</t>
  </si>
  <si>
    <t>Grupo 17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</si>
  <si>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</si>
  <si>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</si>
  <si>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</si>
  <si>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</si>
  <si>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</si>
  <si>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</si>
  <si>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</si>
  <si>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</si>
  <si>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Grupo 26</t>
  </si>
  <si>
    <t>Grupo 27</t>
  </si>
  <si>
    <t>Grupo 28</t>
  </si>
  <si>
    <t>Grupo 29</t>
  </si>
  <si>
    <t>Grupo 30</t>
  </si>
  <si>
    <t>Grupo 31</t>
  </si>
  <si>
    <t>Grupo 32</t>
  </si>
  <si>
    <t>HANS ALBERTO TOLEDO CELIS</t>
  </si>
  <si>
    <t>Daniel</t>
  </si>
  <si>
    <t>WUELMER ESTEBAN SALDAÑA ZUÑIGA</t>
  </si>
  <si>
    <t>BENJAMIN NICOLAS RETAMAL PULGAR</t>
  </si>
  <si>
    <t>EDUARDO SEBASTIAN PALMA OLAVE</t>
  </si>
  <si>
    <t>IGNACIO FERNANDO CUBILLOS LEAL</t>
  </si>
  <si>
    <t>SERGIO IGNACIO CARCAMO NARANJO</t>
  </si>
  <si>
    <t>DIEGO IGNACIO OCTAVIO ESPINOZA JARA</t>
  </si>
  <si>
    <t>ALONSO IGNACIO CORTES MARAMBIO</t>
  </si>
  <si>
    <t>DANIEL ROBERTO RUIZ DAHMEN</t>
  </si>
  <si>
    <t>JOSE ANDRES YAÑEZ CHAVEZ</t>
  </si>
  <si>
    <r>
      <t>MATIAS ANDRES IGNACIO FARIAS SUARE</t>
    </r>
    <r>
      <rPr>
        <sz val="11"/>
        <color theme="1"/>
        <rFont val="Arial"/>
        <family val="2"/>
      </rPr>
      <t>Z</t>
    </r>
  </si>
  <si>
    <t>JORGE DANIEL RIOS CUEVA</t>
  </si>
  <si>
    <t>CAMILO JAVIER GONZALEZ ARAYA</t>
  </si>
  <si>
    <t>AGUSTIN IGNACIO SANTIBAÑEZ PEREZ</t>
  </si>
  <si>
    <t>IGNACIO ALONSO CASANOVA SCHOLZ</t>
  </si>
  <si>
    <t>EMILE ALEJANDRO ALLUE NAVARRETE</t>
  </si>
  <si>
    <t>VICENTE EDUARDO GALAZ ROJAS</t>
  </si>
  <si>
    <t>Bayron</t>
  </si>
  <si>
    <t>DIEGO ALEJANDRO SIERRA PEÑA</t>
  </si>
  <si>
    <t>RODRIGO ARIEL CACERES GAETE</t>
  </si>
  <si>
    <t>BASTIAN IGNACIO TORRES CAMPILLAY</t>
  </si>
  <si>
    <t>DOMINGO EDUARDO RUIZ-TAGLE ARAYA</t>
  </si>
  <si>
    <t>BYRON ALEXANDER AGURTO FIGUEROA</t>
  </si>
  <si>
    <t>JOAQUIN TOMAS QUEZADA ORDENES</t>
  </si>
  <si>
    <t>ABRAHAM MANUEL GARCIA HERNANDEZ</t>
  </si>
  <si>
    <t>SEBASTIAN ALONSO CASTILLO LLANOS</t>
  </si>
  <si>
    <t>DIEGO IGNACIO ACEVEDO FUENTES</t>
  </si>
  <si>
    <t>LUCAS BENJAMIN ENRIQUEZ RIVERA</t>
  </si>
  <si>
    <t>CRISTOBAL INAN CARRION MELI</t>
  </si>
  <si>
    <t>NICOLAS NAIM CHEHADE CASIVAR</t>
  </si>
  <si>
    <t>MATIAS ANTONIO GUAJARDO FUENTES</t>
  </si>
  <si>
    <t>SEBASTIAN TORRES VALENTA</t>
  </si>
  <si>
    <t>ANDREA DELGADILLO BECERRA</t>
  </si>
  <si>
    <t>Grupo</t>
  </si>
  <si>
    <t>BONUS</t>
  </si>
  <si>
    <t>Descuento README</t>
  </si>
  <si>
    <t>Descuento Datos</t>
  </si>
  <si>
    <t>Descuento Tiempo</t>
  </si>
  <si>
    <t>Nota</t>
  </si>
  <si>
    <t>HANS ALBERTO TOLEDO CELIS 
aaaa</t>
  </si>
  <si>
    <t>Nota: Se redujo Bonus a 3, ya que con 4 superaba la puntuación maxima</t>
  </si>
  <si>
    <t>Nota: Se redujo Bonus a 2, ya que con 5 superaba la puntuación maxima</t>
  </si>
  <si>
    <t>Boto el ramo</t>
  </si>
  <si>
    <t xml:space="preserve">Ambos integrantes pertenecen a SJ, inscribieron grupo por error </t>
  </si>
  <si>
    <t>No existe</t>
  </si>
  <si>
    <t>Nota: Se redujo Bonus a 0, ya que con 5 superaba la puntuación maxima</t>
  </si>
  <si>
    <t>Se arreglo problema interno con Profesor ( Semana del 4 se actualizara este campo)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</si>
</sst>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81A27"/>
      <name val="Roboto"/>
    </font>
    <font>
      <sz val="11"/>
      <color rgb="FF154466"/>
      <name val="Roboto"/>
    </font>
    <font>
      <sz val="11"/>
      <color rgb="FF081A27"/>
      <name val="Arial"/>
      <family val="2"/>
    </font>
    <font>
      <sz val="11"/>
      <color rgb="FF154466"/>
      <name val="Arial"/>
      <family val="2"/>
    </font>
    <font>
      <sz val="11"/>
      <color rgb="FF1D2125"/>
      <name val="Arial"/>
      <family val="2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8E27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F465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EE2E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righ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vertical="top" wrapText="1"/>
    </xf>
    <xf numFmtId="0" fontId="1" fillId="6" borderId="5" xfId="1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8" borderId="5" xfId="1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8" borderId="1" xfId="1" applyFont="1" applyFill="1" applyBorder="1" applyAlignment="1">
      <alignment horizontal="center" vertical="top" wrapText="1"/>
    </xf>
    <xf numFmtId="0" fontId="1" fillId="8" borderId="3" xfId="1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" fillId="5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6" fillId="12" borderId="8" xfId="0" applyFont="1" applyFill="1" applyBorder="1" applyAlignment="1">
      <alignment wrapText="1"/>
    </xf>
    <xf numFmtId="0" fontId="7" fillId="12" borderId="8" xfId="0" applyFont="1" applyFill="1" applyBorder="1" applyAlignment="1">
      <alignment wrapText="1"/>
    </xf>
    <xf numFmtId="0" fontId="8" fillId="13" borderId="8" xfId="0" applyFont="1" applyFill="1" applyBorder="1" applyAlignment="1">
      <alignment wrapText="1"/>
    </xf>
    <xf numFmtId="0" fontId="7" fillId="13" borderId="8" xfId="0" applyFont="1" applyFill="1" applyBorder="1" applyAlignment="1">
      <alignment wrapText="1"/>
    </xf>
    <xf numFmtId="0" fontId="8" fillId="14" borderId="8" xfId="0" applyFont="1" applyFill="1" applyBorder="1" applyAlignment="1">
      <alignment wrapText="1"/>
    </xf>
    <xf numFmtId="0" fontId="7" fillId="14" borderId="8" xfId="0" applyFont="1" applyFill="1" applyBorder="1" applyAlignment="1">
      <alignment wrapText="1"/>
    </xf>
    <xf numFmtId="0" fontId="9" fillId="13" borderId="8" xfId="0" applyFont="1" applyFill="1" applyBorder="1" applyAlignment="1">
      <alignment wrapText="1"/>
    </xf>
    <xf numFmtId="0" fontId="10" fillId="14" borderId="8" xfId="0" applyFont="1" applyFill="1" applyBorder="1" applyAlignment="1">
      <alignment wrapText="1"/>
    </xf>
    <xf numFmtId="0" fontId="11" fillId="13" borderId="8" xfId="0" applyFont="1" applyFill="1" applyBorder="1" applyAlignment="1">
      <alignment wrapText="1"/>
    </xf>
    <xf numFmtId="0" fontId="11" fillId="14" borderId="8" xfId="0" applyFont="1" applyFill="1" applyBorder="1" applyAlignment="1">
      <alignment wrapText="1"/>
    </xf>
    <xf numFmtId="0" fontId="12" fillId="13" borderId="8" xfId="0" applyFont="1" applyFill="1" applyBorder="1" applyAlignment="1">
      <alignment wrapText="1"/>
    </xf>
    <xf numFmtId="0" fontId="12" fillId="14" borderId="8" xfId="0" applyFont="1" applyFill="1" applyBorder="1" applyAlignment="1">
      <alignment wrapText="1"/>
    </xf>
    <xf numFmtId="0" fontId="12" fillId="14" borderId="9" xfId="0" applyFont="1" applyFill="1" applyBorder="1" applyAlignment="1">
      <alignment wrapText="1"/>
    </xf>
    <xf numFmtId="0" fontId="13" fillId="13" borderId="8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0" fontId="0" fillId="15" borderId="1" xfId="0" applyFill="1" applyBorder="1"/>
    <xf numFmtId="0" fontId="15" fillId="3" borderId="1" xfId="0" applyFont="1" applyFill="1" applyBorder="1" applyAlignment="1">
      <alignment horizontal="center" vertical="center"/>
    </xf>
    <xf numFmtId="0" fontId="15" fillId="7" borderId="1" xfId="0" applyFont="1" applyFill="1" applyBorder="1"/>
    <xf numFmtId="0" fontId="1" fillId="4" borderId="4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horizontal="center" vertical="top"/>
    </xf>
    <xf numFmtId="0" fontId="0" fillId="15" borderId="1" xfId="0" applyFill="1" applyBorder="1" applyAlignment="1">
      <alignment horizontal="center"/>
    </xf>
    <xf numFmtId="0" fontId="9" fillId="13" borderId="12" xfId="0" applyFont="1" applyFill="1" applyBorder="1" applyAlignment="1">
      <alignment horizontal="center" wrapText="1"/>
    </xf>
    <xf numFmtId="0" fontId="9" fillId="13" borderId="13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7" borderId="12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horizontal="center" wrapText="1"/>
    </xf>
    <xf numFmtId="0" fontId="11" fillId="13" borderId="12" xfId="0" applyFont="1" applyFill="1" applyBorder="1" applyAlignment="1">
      <alignment horizontal="center" wrapText="1"/>
    </xf>
    <xf numFmtId="0" fontId="11" fillId="13" borderId="13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0" fontId="11" fillId="7" borderId="13" xfId="0" applyFont="1" applyFill="1" applyBorder="1" applyAlignment="1">
      <alignment horizontal="center" wrapText="1"/>
    </xf>
    <xf numFmtId="0" fontId="12" fillId="13" borderId="12" xfId="0" applyFont="1" applyFill="1" applyBorder="1" applyAlignment="1">
      <alignment horizontal="center" wrapText="1"/>
    </xf>
    <xf numFmtId="0" fontId="12" fillId="13" borderId="13" xfId="0" applyFont="1" applyFill="1" applyBorder="1" applyAlignment="1">
      <alignment horizontal="center" wrapText="1"/>
    </xf>
    <xf numFmtId="0" fontId="12" fillId="7" borderId="12" xfId="0" applyFont="1" applyFill="1" applyBorder="1" applyAlignment="1">
      <alignment horizontal="center" wrapText="1"/>
    </xf>
    <xf numFmtId="0" fontId="12" fillId="7" borderId="13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1" fillId="7" borderId="0" xfId="0" applyFont="1" applyFill="1" applyAlignment="1">
      <alignment horizontal="center" wrapText="1"/>
    </xf>
    <xf numFmtId="0" fontId="13" fillId="13" borderId="12" xfId="0" applyFont="1" applyFill="1" applyBorder="1" applyAlignment="1">
      <alignment horizontal="center" vertical="top" wrapText="1"/>
    </xf>
    <xf numFmtId="0" fontId="13" fillId="13" borderId="13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72552320-5A57-467B-9EAD-B81C9F6EE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5736-76F6-4BDD-9262-FB628CA25F92}">
  <dimension ref="A1:V380"/>
  <sheetViews>
    <sheetView topLeftCell="A8" zoomScale="47" workbookViewId="0">
      <selection activeCell="B4" sqref="B4:B19"/>
    </sheetView>
  </sheetViews>
  <sheetFormatPr baseColWidth="10" defaultRowHeight="14.4" x14ac:dyDescent="0.3"/>
  <cols>
    <col min="1" max="1" width="12.88671875" customWidth="1"/>
    <col min="2" max="2" width="16.6640625" customWidth="1"/>
    <col min="3" max="3" width="26.109375" customWidth="1"/>
    <col min="5" max="5" width="14.5546875" customWidth="1"/>
    <col min="6" max="6" width="19.88671875" customWidth="1"/>
    <col min="7" max="7" width="17.88671875" bestFit="1" customWidth="1"/>
    <col min="8" max="8" width="20" bestFit="1" customWidth="1"/>
    <col min="9" max="9" width="25.88671875" bestFit="1" customWidth="1"/>
    <col min="11" max="11" width="19.44140625" customWidth="1"/>
    <col min="13" max="13" width="25.33203125" bestFit="1" customWidth="1"/>
    <col min="15" max="15" width="22.33203125" bestFit="1" customWidth="1"/>
    <col min="17" max="17" width="32.33203125" bestFit="1" customWidth="1"/>
    <col min="18" max="18" width="17" bestFit="1" customWidth="1"/>
    <col min="19" max="19" width="17.44140625" bestFit="1" customWidth="1"/>
    <col min="20" max="21" width="18.33203125" bestFit="1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</row>
    <row r="2" spans="1:22" x14ac:dyDescent="0.3">
      <c r="A2" s="3"/>
      <c r="B2" s="3"/>
      <c r="C2" s="69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1"/>
      <c r="O2" s="1"/>
      <c r="P2" s="1"/>
      <c r="Q2" s="1"/>
      <c r="R2" s="1"/>
      <c r="S2" s="2"/>
      <c r="T2" s="2"/>
      <c r="U2" s="2"/>
      <c r="V2" s="2"/>
    </row>
    <row r="3" spans="1:22" x14ac:dyDescent="0.3">
      <c r="A3" s="4"/>
      <c r="B3" s="4" t="s">
        <v>1</v>
      </c>
      <c r="C3" s="4">
        <v>0</v>
      </c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5"/>
      <c r="O3" s="5"/>
      <c r="P3" s="5"/>
      <c r="Q3" s="5"/>
      <c r="R3" s="5"/>
      <c r="S3" s="6"/>
      <c r="T3" s="6"/>
      <c r="U3" s="6"/>
      <c r="V3" s="2"/>
    </row>
    <row r="4" spans="1:22" ht="60" customHeight="1" x14ac:dyDescent="0.3">
      <c r="A4" s="71" t="s">
        <v>2</v>
      </c>
      <c r="B4" s="7" t="s">
        <v>3</v>
      </c>
      <c r="C4" s="8" t="s">
        <v>4</v>
      </c>
      <c r="D4" s="9"/>
      <c r="E4" s="9"/>
      <c r="F4" s="10" t="s">
        <v>5</v>
      </c>
      <c r="G4" s="9"/>
      <c r="H4" s="9"/>
      <c r="I4" s="9"/>
      <c r="J4" s="9"/>
      <c r="K4" s="9"/>
      <c r="L4" s="9"/>
      <c r="M4" s="9"/>
      <c r="N4" s="5"/>
      <c r="O4" s="72" t="s">
        <v>6</v>
      </c>
      <c r="P4" s="72"/>
      <c r="Q4" s="11"/>
      <c r="R4" s="11"/>
      <c r="S4" s="11"/>
      <c r="T4" s="11"/>
      <c r="U4" s="11"/>
      <c r="V4" s="2"/>
    </row>
    <row r="5" spans="1:22" ht="62.25" customHeight="1" x14ac:dyDescent="0.3">
      <c r="A5" s="71"/>
      <c r="B5" s="7" t="s">
        <v>7</v>
      </c>
      <c r="C5" s="8" t="s">
        <v>8</v>
      </c>
      <c r="D5" s="9"/>
      <c r="E5" s="8" t="s">
        <v>9</v>
      </c>
      <c r="F5" s="9"/>
      <c r="G5" s="10" t="s">
        <v>10</v>
      </c>
      <c r="H5" s="9"/>
      <c r="I5" s="9"/>
      <c r="J5" s="9"/>
      <c r="K5" s="9"/>
      <c r="L5" s="9"/>
      <c r="M5" s="9"/>
      <c r="N5" s="5"/>
      <c r="O5" s="12">
        <v>0</v>
      </c>
      <c r="P5" s="12">
        <v>-3</v>
      </c>
      <c r="Q5" s="12">
        <v>-5</v>
      </c>
      <c r="R5" s="13">
        <v>-7</v>
      </c>
      <c r="S5" s="13">
        <v>-10</v>
      </c>
      <c r="T5" s="13">
        <v>-15</v>
      </c>
      <c r="U5" s="13">
        <v>-20</v>
      </c>
      <c r="V5" s="2"/>
    </row>
    <row r="6" spans="1:22" ht="79.2" x14ac:dyDescent="0.3">
      <c r="A6" s="71"/>
      <c r="B6" s="7" t="s">
        <v>11</v>
      </c>
      <c r="C6" s="8" t="s">
        <v>12</v>
      </c>
      <c r="D6" s="9"/>
      <c r="E6" s="9"/>
      <c r="F6" s="8" t="s">
        <v>13</v>
      </c>
      <c r="G6" s="9"/>
      <c r="H6" s="9"/>
      <c r="I6" s="10" t="s">
        <v>14</v>
      </c>
      <c r="J6" s="9"/>
      <c r="K6" s="9"/>
      <c r="L6" s="9"/>
      <c r="M6" s="9"/>
      <c r="N6" s="5"/>
      <c r="O6" s="14" t="s">
        <v>15</v>
      </c>
      <c r="P6" s="15" t="s">
        <v>16</v>
      </c>
      <c r="Q6" s="16" t="s">
        <v>17</v>
      </c>
      <c r="R6" s="15" t="s">
        <v>18</v>
      </c>
      <c r="S6" s="16" t="s">
        <v>17</v>
      </c>
      <c r="T6" s="15"/>
      <c r="U6" s="14" t="s">
        <v>19</v>
      </c>
      <c r="V6" s="2"/>
    </row>
    <row r="7" spans="1:22" ht="135" customHeight="1" x14ac:dyDescent="0.3">
      <c r="A7" s="71"/>
      <c r="B7" s="7" t="s">
        <v>20</v>
      </c>
      <c r="C7" s="8" t="s">
        <v>21</v>
      </c>
      <c r="D7" s="9"/>
      <c r="E7" s="9"/>
      <c r="F7" s="8" t="s">
        <v>22</v>
      </c>
      <c r="G7" s="9"/>
      <c r="H7" s="9"/>
      <c r="I7" s="10" t="s">
        <v>23</v>
      </c>
      <c r="J7" s="9"/>
      <c r="K7" s="9"/>
      <c r="L7" s="9"/>
      <c r="M7" s="9"/>
      <c r="N7" s="5"/>
      <c r="O7" s="17" t="s">
        <v>24</v>
      </c>
      <c r="P7" s="17" t="s">
        <v>25</v>
      </c>
      <c r="Q7" s="18" t="s">
        <v>17</v>
      </c>
      <c r="R7" s="18" t="s">
        <v>17</v>
      </c>
      <c r="S7" s="17" t="s">
        <v>26</v>
      </c>
      <c r="T7" s="19" t="s">
        <v>27</v>
      </c>
      <c r="U7" s="17" t="s">
        <v>28</v>
      </c>
      <c r="V7" s="2"/>
    </row>
    <row r="8" spans="1:22" ht="55.2" x14ac:dyDescent="0.3">
      <c r="A8" s="65"/>
      <c r="B8" s="20" t="s">
        <v>29</v>
      </c>
      <c r="C8" s="21" t="s">
        <v>30</v>
      </c>
      <c r="D8" s="22"/>
      <c r="E8" s="22"/>
      <c r="F8" s="23" t="s">
        <v>31</v>
      </c>
      <c r="G8" s="22"/>
      <c r="H8" s="22"/>
      <c r="I8" s="24" t="s">
        <v>32</v>
      </c>
      <c r="J8" s="22"/>
      <c r="K8" s="22"/>
      <c r="L8" s="22"/>
      <c r="M8" s="9"/>
      <c r="N8" s="5"/>
      <c r="O8" s="2"/>
      <c r="P8" s="2"/>
      <c r="Q8" s="2"/>
      <c r="R8" s="2"/>
      <c r="S8" s="2"/>
      <c r="T8" s="2"/>
      <c r="U8" s="2"/>
      <c r="V8" s="2"/>
    </row>
    <row r="9" spans="1:22" ht="48.75" customHeight="1" x14ac:dyDescent="0.3">
      <c r="A9" s="65" t="s">
        <v>33</v>
      </c>
      <c r="B9" s="7" t="s">
        <v>34</v>
      </c>
      <c r="C9" s="23" t="s">
        <v>35</v>
      </c>
      <c r="D9" s="9"/>
      <c r="E9" s="9"/>
      <c r="F9" s="9"/>
      <c r="G9" s="9"/>
      <c r="H9" s="24" t="s">
        <v>36</v>
      </c>
      <c r="I9" s="9"/>
      <c r="J9" s="9"/>
      <c r="K9" s="9"/>
      <c r="L9" s="9"/>
      <c r="M9" s="9"/>
      <c r="N9" s="5"/>
      <c r="O9" s="72" t="s">
        <v>37</v>
      </c>
      <c r="P9" s="72"/>
      <c r="Q9" s="25" t="s">
        <v>38</v>
      </c>
      <c r="R9" s="25"/>
      <c r="S9" s="11"/>
      <c r="T9" s="11"/>
      <c r="U9" s="2"/>
      <c r="V9" s="2"/>
    </row>
    <row r="10" spans="1:22" ht="70.5" customHeight="1" x14ac:dyDescent="0.3">
      <c r="A10" s="66"/>
      <c r="B10" s="7" t="s">
        <v>39</v>
      </c>
      <c r="C10" s="23" t="s">
        <v>40</v>
      </c>
      <c r="D10" s="9"/>
      <c r="E10" s="9"/>
      <c r="F10" s="23" t="s">
        <v>41</v>
      </c>
      <c r="G10" s="9"/>
      <c r="H10" s="24" t="s">
        <v>42</v>
      </c>
      <c r="I10" s="9"/>
      <c r="J10" s="9"/>
      <c r="K10" s="9"/>
      <c r="L10" s="9"/>
      <c r="M10" s="9"/>
      <c r="N10" s="5"/>
      <c r="O10" s="12">
        <v>0</v>
      </c>
      <c r="P10" s="12">
        <v>1</v>
      </c>
      <c r="Q10" s="12">
        <v>2</v>
      </c>
      <c r="R10" s="13">
        <v>3</v>
      </c>
      <c r="S10" s="13">
        <v>4</v>
      </c>
      <c r="T10" s="13">
        <v>5</v>
      </c>
      <c r="U10" s="2"/>
      <c r="V10" s="2"/>
    </row>
    <row r="11" spans="1:22" ht="63.75" customHeight="1" x14ac:dyDescent="0.3">
      <c r="A11" s="67"/>
      <c r="B11" s="7" t="s">
        <v>43</v>
      </c>
      <c r="C11" s="23" t="s">
        <v>44</v>
      </c>
      <c r="D11" s="9"/>
      <c r="E11" s="9"/>
      <c r="F11" s="9"/>
      <c r="G11" s="9"/>
      <c r="H11" s="24" t="s">
        <v>45</v>
      </c>
      <c r="I11" s="9"/>
      <c r="J11" s="9"/>
      <c r="K11" s="9"/>
      <c r="L11" s="9"/>
      <c r="M11" s="9"/>
      <c r="N11" s="5"/>
      <c r="O11" s="14" t="s">
        <v>46</v>
      </c>
      <c r="P11" s="14"/>
      <c r="Q11" s="14" t="s">
        <v>47</v>
      </c>
      <c r="R11" s="14" t="s">
        <v>48</v>
      </c>
      <c r="S11" s="14" t="s">
        <v>49</v>
      </c>
      <c r="T11" s="15" t="s">
        <v>50</v>
      </c>
      <c r="U11" s="2"/>
      <c r="V11" s="26"/>
    </row>
    <row r="12" spans="1:22" ht="72" customHeight="1" x14ac:dyDescent="0.3">
      <c r="A12" s="27" t="s">
        <v>51</v>
      </c>
      <c r="B12" s="7" t="s">
        <v>52</v>
      </c>
      <c r="C12" s="28" t="s">
        <v>53</v>
      </c>
      <c r="D12" s="9"/>
      <c r="E12" s="9"/>
      <c r="F12" s="9"/>
      <c r="G12" s="9"/>
      <c r="H12" s="28" t="s">
        <v>54</v>
      </c>
      <c r="I12" s="9"/>
      <c r="J12" s="9"/>
      <c r="K12" s="9"/>
      <c r="L12" s="9"/>
      <c r="M12" s="29" t="s">
        <v>55</v>
      </c>
      <c r="N12" s="5"/>
      <c r="O12" s="5"/>
      <c r="P12" s="2"/>
      <c r="Q12" s="2"/>
      <c r="R12" s="2"/>
      <c r="S12" s="2"/>
      <c r="T12" s="2"/>
      <c r="U12" s="2"/>
      <c r="V12" s="2"/>
    </row>
    <row r="13" spans="1:22" ht="51.75" customHeight="1" x14ac:dyDescent="0.3">
      <c r="A13" s="65" t="s">
        <v>56</v>
      </c>
      <c r="B13" s="7" t="s">
        <v>57</v>
      </c>
      <c r="C13" s="28" t="s">
        <v>58</v>
      </c>
      <c r="D13" s="9"/>
      <c r="E13" s="9"/>
      <c r="F13" s="9"/>
      <c r="G13" s="9"/>
      <c r="H13" s="24" t="s">
        <v>59</v>
      </c>
      <c r="I13" s="9"/>
      <c r="J13" s="9"/>
      <c r="K13" s="9"/>
      <c r="L13" s="9"/>
      <c r="M13" s="9"/>
      <c r="N13" s="5"/>
      <c r="O13" s="5"/>
      <c r="P13" s="2"/>
      <c r="Q13" s="2"/>
      <c r="R13" s="2"/>
      <c r="S13" s="2"/>
      <c r="T13" s="2"/>
      <c r="U13" s="2"/>
      <c r="V13" s="2"/>
    </row>
    <row r="14" spans="1:22" ht="105" customHeight="1" x14ac:dyDescent="0.3">
      <c r="A14" s="66"/>
      <c r="B14" s="7" t="s">
        <v>60</v>
      </c>
      <c r="C14" s="28" t="s">
        <v>61</v>
      </c>
      <c r="D14" s="9"/>
      <c r="E14" s="8" t="s">
        <v>62</v>
      </c>
      <c r="F14" s="9"/>
      <c r="G14" s="8" t="s">
        <v>63</v>
      </c>
      <c r="H14" s="9"/>
      <c r="I14" s="8" t="s">
        <v>64</v>
      </c>
      <c r="J14" s="9"/>
      <c r="K14" s="8" t="s">
        <v>65</v>
      </c>
      <c r="L14" s="9"/>
      <c r="M14" s="30" t="s">
        <v>66</v>
      </c>
      <c r="N14" s="5"/>
      <c r="O14" s="5"/>
      <c r="P14" s="31"/>
      <c r="Q14" s="31"/>
      <c r="R14" s="31"/>
      <c r="S14" s="31"/>
      <c r="T14" s="32"/>
      <c r="U14" s="33"/>
      <c r="V14" s="33"/>
    </row>
    <row r="15" spans="1:22" ht="45" customHeight="1" x14ac:dyDescent="0.3">
      <c r="A15" s="65" t="s">
        <v>67</v>
      </c>
      <c r="B15" s="7" t="s">
        <v>68</v>
      </c>
      <c r="C15" s="28" t="s">
        <v>69</v>
      </c>
      <c r="D15" s="9"/>
      <c r="E15" s="9"/>
      <c r="F15" s="9"/>
      <c r="G15" s="9"/>
      <c r="H15" s="24" t="s">
        <v>70</v>
      </c>
      <c r="I15" s="9"/>
      <c r="J15" s="9"/>
      <c r="K15" s="9"/>
      <c r="L15" s="9"/>
      <c r="M15" s="9"/>
      <c r="N15" s="5"/>
      <c r="O15" s="5"/>
      <c r="P15" s="5"/>
      <c r="Q15" s="5"/>
      <c r="R15" s="5"/>
      <c r="S15" s="6"/>
      <c r="T15" s="6"/>
      <c r="U15" s="6"/>
      <c r="V15" s="2"/>
    </row>
    <row r="16" spans="1:22" ht="55.2" x14ac:dyDescent="0.3">
      <c r="A16" s="66"/>
      <c r="B16" s="7" t="s">
        <v>71</v>
      </c>
      <c r="C16" s="28" t="s">
        <v>61</v>
      </c>
      <c r="D16" s="9"/>
      <c r="E16" s="8" t="s">
        <v>62</v>
      </c>
      <c r="F16" s="9"/>
      <c r="G16" s="8" t="s">
        <v>63</v>
      </c>
      <c r="H16" s="9"/>
      <c r="I16" s="8" t="s">
        <v>64</v>
      </c>
      <c r="J16" s="9"/>
      <c r="K16" s="8" t="s">
        <v>65</v>
      </c>
      <c r="L16" s="9"/>
      <c r="M16" s="30" t="s">
        <v>66</v>
      </c>
      <c r="N16" s="5"/>
      <c r="O16" s="5"/>
      <c r="P16" s="5"/>
      <c r="Q16" s="5"/>
      <c r="R16" s="5"/>
      <c r="S16" s="6"/>
      <c r="T16" s="6"/>
      <c r="U16" s="6"/>
      <c r="V16" s="2"/>
    </row>
    <row r="17" spans="1:22" ht="76.5" customHeight="1" x14ac:dyDescent="0.3">
      <c r="A17" s="67"/>
      <c r="B17" s="7" t="s">
        <v>72</v>
      </c>
      <c r="C17" s="28" t="s">
        <v>73</v>
      </c>
      <c r="D17" s="9"/>
      <c r="E17" s="9"/>
      <c r="F17" s="28" t="s">
        <v>74</v>
      </c>
      <c r="G17" s="9"/>
      <c r="H17" s="29" t="s">
        <v>75</v>
      </c>
      <c r="I17" s="9"/>
      <c r="J17" s="9"/>
      <c r="K17" s="9"/>
      <c r="L17" s="9"/>
      <c r="M17" s="9"/>
      <c r="N17" s="5"/>
      <c r="O17" s="5"/>
      <c r="P17" s="5"/>
      <c r="Q17" s="5"/>
      <c r="R17" s="5"/>
      <c r="S17" s="6"/>
      <c r="T17" s="6"/>
      <c r="U17" s="6"/>
      <c r="V17" s="2"/>
    </row>
    <row r="18" spans="1:22" ht="82.5" customHeight="1" x14ac:dyDescent="0.3">
      <c r="A18" s="68" t="s">
        <v>76</v>
      </c>
      <c r="B18" s="34" t="s">
        <v>77</v>
      </c>
      <c r="C18" s="28" t="s">
        <v>78</v>
      </c>
      <c r="D18" s="9"/>
      <c r="E18" s="9"/>
      <c r="F18" s="9"/>
      <c r="G18" s="9"/>
      <c r="H18" s="24" t="s">
        <v>79</v>
      </c>
      <c r="I18" s="9"/>
      <c r="J18" s="9"/>
      <c r="K18" s="9"/>
      <c r="L18" s="9"/>
      <c r="M18" s="9"/>
      <c r="N18" s="5"/>
      <c r="O18" s="5"/>
      <c r="P18" s="5"/>
      <c r="Q18" s="5"/>
      <c r="R18" s="5"/>
      <c r="S18" s="6"/>
      <c r="T18" s="6"/>
      <c r="U18" s="6"/>
      <c r="V18" s="2"/>
    </row>
    <row r="19" spans="1:22" ht="55.2" x14ac:dyDescent="0.3">
      <c r="A19" s="68"/>
      <c r="B19" s="34" t="s">
        <v>80</v>
      </c>
      <c r="C19" s="28" t="s">
        <v>61</v>
      </c>
      <c r="D19" s="9"/>
      <c r="E19" s="28" t="s">
        <v>62</v>
      </c>
      <c r="F19" s="9"/>
      <c r="G19" s="28" t="s">
        <v>63</v>
      </c>
      <c r="H19" s="9"/>
      <c r="I19" s="28" t="s">
        <v>64</v>
      </c>
      <c r="J19" s="9"/>
      <c r="K19" s="28" t="s">
        <v>65</v>
      </c>
      <c r="L19" s="9"/>
      <c r="M19" s="29" t="s">
        <v>66</v>
      </c>
      <c r="N19" s="5"/>
      <c r="O19" s="5"/>
      <c r="P19" s="5"/>
      <c r="Q19" s="5"/>
      <c r="R19" s="5"/>
      <c r="S19" s="6"/>
      <c r="T19" s="6"/>
      <c r="U19" s="6"/>
      <c r="V19" s="2"/>
    </row>
    <row r="20" spans="1:22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36"/>
      <c r="U20" s="36"/>
    </row>
    <row r="21" spans="1:22" x14ac:dyDescent="0.3">
      <c r="N21" s="35"/>
      <c r="O21" s="35"/>
      <c r="P21" s="35"/>
      <c r="Q21" s="35"/>
      <c r="R21" s="35"/>
      <c r="S21" s="36"/>
      <c r="T21" s="36"/>
      <c r="U21" s="36"/>
    </row>
    <row r="22" spans="1:22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6"/>
      <c r="T22" s="36"/>
      <c r="U22" s="36"/>
    </row>
    <row r="23" spans="1:22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6"/>
      <c r="T23" s="36"/>
      <c r="U23" s="36"/>
    </row>
    <row r="24" spans="1:22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6"/>
      <c r="T24" s="36"/>
      <c r="U24" s="36"/>
    </row>
    <row r="25" spans="1:22" x14ac:dyDescent="0.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6"/>
      <c r="T25" s="36"/>
      <c r="U25" s="36"/>
    </row>
    <row r="26" spans="1:22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6"/>
      <c r="T26" s="36"/>
      <c r="U26" s="36"/>
    </row>
    <row r="27" spans="1:22" x14ac:dyDescent="0.3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6"/>
      <c r="T27" s="36"/>
      <c r="U27" s="36"/>
    </row>
    <row r="28" spans="1:22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6"/>
      <c r="T28" s="36"/>
      <c r="U28" s="36"/>
    </row>
    <row r="29" spans="1:22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6"/>
      <c r="T29" s="36"/>
      <c r="U29" s="36"/>
    </row>
    <row r="30" spans="1:22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6"/>
      <c r="T30" s="36"/>
      <c r="U30" s="36"/>
    </row>
    <row r="31" spans="1:22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/>
      <c r="T31" s="36"/>
      <c r="U31" s="36"/>
    </row>
    <row r="32" spans="1:22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6"/>
      <c r="T32" s="36"/>
      <c r="U32" s="36"/>
    </row>
    <row r="33" spans="1:21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6"/>
      <c r="T33" s="36"/>
      <c r="U33" s="36"/>
    </row>
    <row r="34" spans="1:21" x14ac:dyDescent="0.3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6"/>
      <c r="T34" s="36"/>
      <c r="U34" s="36"/>
    </row>
    <row r="35" spans="1:21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6"/>
      <c r="T35" s="36"/>
      <c r="U35" s="36"/>
    </row>
    <row r="36" spans="1:2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6"/>
      <c r="T36" s="36"/>
      <c r="U36" s="36"/>
    </row>
    <row r="37" spans="1:21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6"/>
      <c r="T37" s="36"/>
      <c r="U37" s="36"/>
    </row>
    <row r="38" spans="1:21" x14ac:dyDescent="0.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6"/>
      <c r="T38" s="36"/>
      <c r="U38" s="36"/>
    </row>
    <row r="39" spans="1:21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6"/>
      <c r="T39" s="36"/>
      <c r="U39" s="36"/>
    </row>
    <row r="40" spans="1:2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6"/>
      <c r="T40" s="36"/>
      <c r="U40" s="36"/>
    </row>
    <row r="41" spans="1:21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6"/>
      <c r="T41" s="36"/>
      <c r="U41" s="36"/>
    </row>
    <row r="42" spans="1:21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6"/>
      <c r="T42" s="36"/>
      <c r="U42" s="36"/>
    </row>
    <row r="43" spans="1:21" x14ac:dyDescent="0.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6"/>
      <c r="T43" s="36"/>
      <c r="U43" s="36"/>
    </row>
    <row r="44" spans="1:21" x14ac:dyDescent="0.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6"/>
      <c r="T44" s="36"/>
      <c r="U44" s="36"/>
    </row>
    <row r="45" spans="1:21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6"/>
      <c r="T45" s="36"/>
      <c r="U45" s="36"/>
    </row>
    <row r="46" spans="1:21" x14ac:dyDescent="0.3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6"/>
      <c r="T46" s="36"/>
      <c r="U46" s="36"/>
    </row>
    <row r="47" spans="1:21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6"/>
      <c r="T47" s="36"/>
      <c r="U47" s="36"/>
    </row>
    <row r="48" spans="1:21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6"/>
      <c r="T48" s="36"/>
      <c r="U48" s="36"/>
    </row>
    <row r="49" spans="1:21" x14ac:dyDescent="0.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6"/>
      <c r="T49" s="36"/>
      <c r="U49" s="36"/>
    </row>
    <row r="50" spans="1:21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6"/>
      <c r="T50" s="36"/>
      <c r="U50" s="36"/>
    </row>
    <row r="51" spans="1:21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6"/>
      <c r="T51" s="36"/>
      <c r="U51" s="36"/>
    </row>
    <row r="52" spans="1:21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6"/>
      <c r="T52" s="36"/>
      <c r="U52" s="36"/>
    </row>
    <row r="53" spans="1:21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6"/>
      <c r="T53" s="36"/>
      <c r="U53" s="36"/>
    </row>
    <row r="54" spans="1:21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6"/>
      <c r="T54" s="36"/>
      <c r="U54" s="36"/>
    </row>
    <row r="55" spans="1:21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6"/>
      <c r="T55" s="36"/>
      <c r="U55" s="36"/>
    </row>
    <row r="56" spans="1:21" x14ac:dyDescent="0.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6"/>
      <c r="T56" s="36"/>
      <c r="U56" s="36"/>
    </row>
    <row r="57" spans="1:21" x14ac:dyDescent="0.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6"/>
      <c r="T57" s="36"/>
      <c r="U57" s="36"/>
    </row>
    <row r="58" spans="1:21" x14ac:dyDescent="0.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6"/>
      <c r="T58" s="36"/>
      <c r="U58" s="36"/>
    </row>
    <row r="59" spans="1:21" x14ac:dyDescent="0.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6"/>
      <c r="T59" s="36"/>
      <c r="U59" s="36"/>
    </row>
    <row r="60" spans="1:21" x14ac:dyDescent="0.3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6"/>
      <c r="T60" s="36"/>
      <c r="U60" s="36"/>
    </row>
    <row r="61" spans="1:21" x14ac:dyDescent="0.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6"/>
      <c r="T61" s="36"/>
      <c r="U61" s="36"/>
    </row>
    <row r="62" spans="1:21" x14ac:dyDescent="0.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6"/>
      <c r="T62" s="36"/>
      <c r="U62" s="36"/>
    </row>
    <row r="63" spans="1:21" x14ac:dyDescent="0.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6"/>
      <c r="T63" s="36"/>
      <c r="U63" s="36"/>
    </row>
    <row r="64" spans="1:21" x14ac:dyDescent="0.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6"/>
      <c r="T64" s="36"/>
      <c r="U64" s="36"/>
    </row>
    <row r="65" spans="1:21" x14ac:dyDescent="0.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6"/>
      <c r="T65" s="36"/>
      <c r="U65" s="36"/>
    </row>
    <row r="66" spans="1:2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6"/>
      <c r="T66" s="36"/>
      <c r="U66" s="36"/>
    </row>
    <row r="67" spans="1:21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  <c r="T67" s="36"/>
      <c r="U67" s="36"/>
    </row>
    <row r="68" spans="1:21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6"/>
      <c r="T68" s="36"/>
      <c r="U68" s="36"/>
    </row>
    <row r="69" spans="1:21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6"/>
      <c r="T69" s="36"/>
      <c r="U69" s="36"/>
    </row>
    <row r="70" spans="1:2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6"/>
      <c r="T70" s="36"/>
      <c r="U70" s="36"/>
    </row>
    <row r="71" spans="1:21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36"/>
      <c r="U71" s="36"/>
    </row>
    <row r="72" spans="1:21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6"/>
      <c r="T72" s="36"/>
      <c r="U72" s="36"/>
    </row>
    <row r="73" spans="1:21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6"/>
      <c r="T73" s="36"/>
      <c r="U73" s="36"/>
    </row>
    <row r="74" spans="1:21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36"/>
      <c r="U74" s="36"/>
    </row>
    <row r="75" spans="1:2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36"/>
      <c r="U75" s="36"/>
    </row>
    <row r="76" spans="1:21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36"/>
      <c r="U76" s="36"/>
    </row>
    <row r="77" spans="1:21" x14ac:dyDescent="0.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36"/>
      <c r="U77" s="36"/>
    </row>
    <row r="78" spans="1:21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36"/>
      <c r="U78" s="36"/>
    </row>
    <row r="79" spans="1:21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36"/>
      <c r="U79" s="36"/>
    </row>
    <row r="80" spans="1:21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6"/>
      <c r="U80" s="36"/>
    </row>
    <row r="81" spans="1:21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6"/>
      <c r="U81" s="36"/>
    </row>
    <row r="82" spans="1:21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36"/>
      <c r="U82" s="36"/>
    </row>
    <row r="83" spans="1:21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36"/>
      <c r="U83" s="36"/>
    </row>
    <row r="84" spans="1:2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36"/>
      <c r="U84" s="36"/>
    </row>
    <row r="85" spans="1:2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36"/>
      <c r="U85" s="36"/>
    </row>
    <row r="86" spans="1:2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36"/>
      <c r="U86" s="36"/>
    </row>
    <row r="87" spans="1:2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36"/>
      <c r="U87" s="36"/>
    </row>
    <row r="88" spans="1:2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36"/>
      <c r="U88" s="36"/>
    </row>
    <row r="89" spans="1:2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36"/>
      <c r="U89" s="36"/>
    </row>
    <row r="90" spans="1:2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36"/>
      <c r="U90" s="36"/>
    </row>
    <row r="91" spans="1:2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36"/>
      <c r="U91" s="36"/>
    </row>
    <row r="92" spans="1:2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36"/>
      <c r="U92" s="36"/>
    </row>
    <row r="93" spans="1:2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6"/>
      <c r="T93" s="36"/>
      <c r="U93" s="36"/>
    </row>
    <row r="94" spans="1:2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36"/>
      <c r="U94" s="36"/>
    </row>
    <row r="95" spans="1:2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6"/>
      <c r="T95" s="36"/>
      <c r="U95" s="36"/>
    </row>
    <row r="96" spans="1:2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36"/>
      <c r="U96" s="36"/>
    </row>
    <row r="97" spans="1:2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6"/>
      <c r="U97" s="36"/>
    </row>
    <row r="98" spans="1:2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36"/>
      <c r="U98" s="36"/>
    </row>
    <row r="99" spans="1:2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36"/>
      <c r="U99" s="36"/>
    </row>
    <row r="100" spans="1:2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6"/>
      <c r="U100" s="36"/>
    </row>
    <row r="101" spans="1:2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36"/>
      <c r="U101" s="36"/>
    </row>
    <row r="102" spans="1:2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36"/>
      <c r="U102" s="36"/>
    </row>
    <row r="103" spans="1:2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36"/>
      <c r="U103" s="36"/>
    </row>
    <row r="104" spans="1:2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6"/>
      <c r="U104" s="36"/>
    </row>
    <row r="105" spans="1:2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6"/>
      <c r="T105" s="36"/>
      <c r="U105" s="36"/>
    </row>
    <row r="106" spans="1:2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6"/>
      <c r="U106" s="36"/>
    </row>
    <row r="107" spans="1:2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6"/>
      <c r="T107" s="36"/>
      <c r="U107" s="36"/>
    </row>
    <row r="108" spans="1:2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36"/>
      <c r="U108" s="36"/>
    </row>
    <row r="109" spans="1:2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6"/>
      <c r="T109" s="36"/>
      <c r="U109" s="36"/>
    </row>
    <row r="110" spans="1:2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6"/>
      <c r="T110" s="36"/>
      <c r="U110" s="36"/>
    </row>
    <row r="111" spans="1:2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6"/>
      <c r="T111" s="36"/>
      <c r="U111" s="36"/>
    </row>
    <row r="112" spans="1:2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6"/>
      <c r="T112" s="36"/>
      <c r="U112" s="36"/>
    </row>
    <row r="113" spans="1:2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6"/>
      <c r="T113" s="36"/>
      <c r="U113" s="36"/>
    </row>
    <row r="114" spans="1:2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6"/>
      <c r="T114" s="36"/>
      <c r="U114" s="36"/>
    </row>
    <row r="115" spans="1:2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6"/>
      <c r="T115" s="36"/>
      <c r="U115" s="36"/>
    </row>
    <row r="116" spans="1:2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6"/>
      <c r="T116" s="36"/>
      <c r="U116" s="36"/>
    </row>
    <row r="117" spans="1:2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6"/>
      <c r="T117" s="36"/>
      <c r="U117" s="36"/>
    </row>
    <row r="118" spans="1:2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6"/>
      <c r="T118" s="36"/>
      <c r="U118" s="36"/>
    </row>
    <row r="119" spans="1:2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6"/>
      <c r="T119" s="36"/>
      <c r="U119" s="36"/>
    </row>
    <row r="120" spans="1:2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/>
      <c r="T120" s="36"/>
      <c r="U120" s="36"/>
    </row>
    <row r="121" spans="1:2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6"/>
      <c r="T121" s="36"/>
      <c r="U121" s="36"/>
    </row>
    <row r="122" spans="1:2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6"/>
      <c r="T122" s="36"/>
      <c r="U122" s="36"/>
    </row>
    <row r="123" spans="1:2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6"/>
      <c r="T123" s="36"/>
      <c r="U123" s="36"/>
    </row>
    <row r="124" spans="1:2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6"/>
      <c r="T124" s="36"/>
      <c r="U124" s="36"/>
    </row>
    <row r="125" spans="1:2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6"/>
      <c r="T125" s="36"/>
      <c r="U125" s="36"/>
    </row>
    <row r="126" spans="1:2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/>
      <c r="T126" s="36"/>
      <c r="U126" s="36"/>
    </row>
    <row r="127" spans="1:2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6"/>
      <c r="T127" s="36"/>
      <c r="U127" s="36"/>
    </row>
    <row r="128" spans="1:2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6"/>
      <c r="T128" s="36"/>
      <c r="U128" s="36"/>
    </row>
    <row r="129" spans="1:2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6"/>
      <c r="T129" s="36"/>
      <c r="U129" s="36"/>
    </row>
    <row r="130" spans="1:2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6"/>
      <c r="T130" s="36"/>
      <c r="U130" s="36"/>
    </row>
    <row r="131" spans="1:2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6"/>
      <c r="T131" s="36"/>
      <c r="U131" s="36"/>
    </row>
    <row r="132" spans="1:2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6"/>
      <c r="T132" s="36"/>
      <c r="U132" s="36"/>
    </row>
    <row r="133" spans="1:2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6"/>
      <c r="T133" s="36"/>
      <c r="U133" s="36"/>
    </row>
    <row r="134" spans="1:2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6"/>
      <c r="T134" s="36"/>
      <c r="U134" s="36"/>
    </row>
    <row r="135" spans="1:2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6"/>
      <c r="T135" s="36"/>
      <c r="U135" s="36"/>
    </row>
    <row r="136" spans="1:2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6"/>
      <c r="T136" s="36"/>
      <c r="U136" s="36"/>
    </row>
    <row r="137" spans="1:2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6"/>
      <c r="T137" s="36"/>
      <c r="U137" s="36"/>
    </row>
    <row r="138" spans="1:2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6"/>
      <c r="T138" s="36"/>
      <c r="U138" s="36"/>
    </row>
    <row r="139" spans="1:2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6"/>
      <c r="T139" s="36"/>
      <c r="U139" s="36"/>
    </row>
    <row r="140" spans="1:2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6"/>
      <c r="T140" s="36"/>
      <c r="U140" s="36"/>
    </row>
    <row r="141" spans="1:2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6"/>
      <c r="T141" s="36"/>
      <c r="U141" s="36"/>
    </row>
    <row r="142" spans="1:2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6"/>
      <c r="T142" s="36"/>
      <c r="U142" s="36"/>
    </row>
    <row r="143" spans="1:2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6"/>
      <c r="T143" s="36"/>
      <c r="U143" s="36"/>
    </row>
    <row r="144" spans="1:2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6"/>
      <c r="T144" s="36"/>
      <c r="U144" s="36"/>
    </row>
    <row r="145" spans="1:2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6"/>
      <c r="T145" s="36"/>
      <c r="U145" s="36"/>
    </row>
    <row r="146" spans="1:2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6"/>
      <c r="T146" s="36"/>
      <c r="U146" s="36"/>
    </row>
    <row r="147" spans="1:2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6"/>
      <c r="T147" s="36"/>
      <c r="U147" s="36"/>
    </row>
    <row r="148" spans="1:2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6"/>
      <c r="T148" s="36"/>
      <c r="U148" s="36"/>
    </row>
    <row r="149" spans="1:2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6"/>
      <c r="T149" s="36"/>
      <c r="U149" s="36"/>
    </row>
    <row r="150" spans="1:2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6"/>
      <c r="T150" s="36"/>
      <c r="U150" s="36"/>
    </row>
    <row r="151" spans="1:2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6"/>
      <c r="T151" s="36"/>
      <c r="U151" s="36"/>
    </row>
    <row r="152" spans="1:2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6"/>
      <c r="T152" s="36"/>
      <c r="U152" s="36"/>
    </row>
    <row r="153" spans="1:2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6"/>
      <c r="T153" s="36"/>
      <c r="U153" s="36"/>
    </row>
    <row r="154" spans="1:2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6"/>
      <c r="T154" s="36"/>
      <c r="U154" s="36"/>
    </row>
    <row r="155" spans="1:2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6"/>
      <c r="T155" s="36"/>
      <c r="U155" s="36"/>
    </row>
    <row r="156" spans="1:2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6"/>
      <c r="T156" s="36"/>
      <c r="U156" s="36"/>
    </row>
    <row r="157" spans="1:2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6"/>
      <c r="T157" s="36"/>
      <c r="U157" s="36"/>
    </row>
    <row r="158" spans="1:2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6"/>
      <c r="T158" s="36"/>
      <c r="U158" s="36"/>
    </row>
    <row r="159" spans="1:2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6"/>
      <c r="T159" s="36"/>
      <c r="U159" s="36"/>
    </row>
    <row r="160" spans="1:2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6"/>
      <c r="T160" s="36"/>
      <c r="U160" s="36"/>
    </row>
    <row r="161" spans="1:2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6"/>
      <c r="T161" s="36"/>
      <c r="U161" s="36"/>
    </row>
    <row r="162" spans="1:2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6"/>
      <c r="T162" s="36"/>
      <c r="U162" s="36"/>
    </row>
    <row r="163" spans="1:2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6"/>
      <c r="T163" s="36"/>
      <c r="U163" s="36"/>
    </row>
    <row r="164" spans="1:2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6"/>
      <c r="T164" s="36"/>
      <c r="U164" s="36"/>
    </row>
    <row r="165" spans="1:2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6"/>
      <c r="T165" s="36"/>
      <c r="U165" s="36"/>
    </row>
    <row r="166" spans="1:2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6"/>
      <c r="T166" s="36"/>
      <c r="U166" s="36"/>
    </row>
    <row r="167" spans="1:2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6"/>
      <c r="T167" s="36"/>
      <c r="U167" s="36"/>
    </row>
    <row r="168" spans="1:2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6"/>
      <c r="T168" s="36"/>
      <c r="U168" s="36"/>
    </row>
    <row r="169" spans="1:2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6"/>
      <c r="T169" s="36"/>
      <c r="U169" s="36"/>
    </row>
    <row r="170" spans="1:2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6"/>
      <c r="T170" s="36"/>
      <c r="U170" s="36"/>
    </row>
    <row r="171" spans="1:2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6"/>
      <c r="T171" s="36"/>
      <c r="U171" s="36"/>
    </row>
    <row r="172" spans="1:2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6"/>
      <c r="T172" s="36"/>
      <c r="U172" s="36"/>
    </row>
    <row r="173" spans="1:2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6"/>
      <c r="T173" s="36"/>
      <c r="U173" s="36"/>
    </row>
    <row r="174" spans="1:2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6"/>
      <c r="T174" s="36"/>
      <c r="U174" s="36"/>
    </row>
    <row r="175" spans="1:2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6"/>
      <c r="T175" s="36"/>
      <c r="U175" s="36"/>
    </row>
    <row r="176" spans="1:2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6"/>
      <c r="T176" s="36"/>
      <c r="U176" s="36"/>
    </row>
    <row r="177" spans="1:2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6"/>
      <c r="T177" s="36"/>
      <c r="U177" s="36"/>
    </row>
    <row r="178" spans="1:2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6"/>
      <c r="T178" s="36"/>
      <c r="U178" s="36"/>
    </row>
    <row r="179" spans="1:2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6"/>
      <c r="T179" s="36"/>
      <c r="U179" s="36"/>
    </row>
    <row r="180" spans="1:2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6"/>
      <c r="T180" s="36"/>
      <c r="U180" s="36"/>
    </row>
    <row r="181" spans="1:2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6"/>
      <c r="T181" s="36"/>
      <c r="U181" s="36"/>
    </row>
    <row r="182" spans="1:2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6"/>
      <c r="T182" s="36"/>
      <c r="U182" s="36"/>
    </row>
    <row r="183" spans="1:2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6"/>
      <c r="T183" s="36"/>
      <c r="U183" s="36"/>
    </row>
    <row r="184" spans="1:2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6"/>
      <c r="T184" s="36"/>
      <c r="U184" s="36"/>
    </row>
    <row r="185" spans="1:2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6"/>
      <c r="T185" s="36"/>
      <c r="U185" s="36"/>
    </row>
    <row r="186" spans="1:2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6"/>
      <c r="T186" s="36"/>
      <c r="U186" s="36"/>
    </row>
    <row r="187" spans="1:2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6"/>
      <c r="T187" s="36"/>
      <c r="U187" s="36"/>
    </row>
    <row r="188" spans="1:2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6"/>
      <c r="T188" s="36"/>
      <c r="U188" s="36"/>
    </row>
    <row r="189" spans="1:2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6"/>
      <c r="T189" s="36"/>
      <c r="U189" s="36"/>
    </row>
    <row r="190" spans="1:2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6"/>
      <c r="T190" s="36"/>
      <c r="U190" s="36"/>
    </row>
    <row r="191" spans="1:2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6"/>
      <c r="T191" s="36"/>
      <c r="U191" s="36"/>
    </row>
    <row r="192" spans="1:2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6"/>
      <c r="T192" s="36"/>
      <c r="U192" s="36"/>
    </row>
    <row r="193" spans="1:2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6"/>
      <c r="T193" s="36"/>
      <c r="U193" s="36"/>
    </row>
    <row r="194" spans="1:2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6"/>
      <c r="T194" s="36"/>
      <c r="U194" s="36"/>
    </row>
    <row r="195" spans="1:2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6"/>
      <c r="T195" s="36"/>
      <c r="U195" s="36"/>
    </row>
    <row r="196" spans="1:2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6"/>
      <c r="T196" s="36"/>
      <c r="U196" s="36"/>
    </row>
    <row r="197" spans="1:2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6"/>
      <c r="T197" s="36"/>
      <c r="U197" s="36"/>
    </row>
    <row r="198" spans="1:2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6"/>
      <c r="T198" s="36"/>
      <c r="U198" s="36"/>
    </row>
    <row r="199" spans="1:2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6"/>
      <c r="T199" s="36"/>
      <c r="U199" s="36"/>
    </row>
    <row r="200" spans="1:2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6"/>
      <c r="T200" s="36"/>
      <c r="U200" s="36"/>
    </row>
    <row r="201" spans="1:2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6"/>
      <c r="T201" s="36"/>
      <c r="U201" s="36"/>
    </row>
    <row r="202" spans="1:2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6"/>
      <c r="T202" s="36"/>
      <c r="U202" s="36"/>
    </row>
    <row r="203" spans="1:2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6"/>
      <c r="T203" s="36"/>
      <c r="U203" s="36"/>
    </row>
    <row r="204" spans="1:2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6"/>
      <c r="T204" s="36"/>
      <c r="U204" s="36"/>
    </row>
    <row r="205" spans="1:2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6"/>
      <c r="T205" s="36"/>
      <c r="U205" s="36"/>
    </row>
    <row r="206" spans="1:2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6"/>
      <c r="T206" s="36"/>
      <c r="U206" s="36"/>
    </row>
    <row r="207" spans="1:2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6"/>
      <c r="T207" s="36"/>
      <c r="U207" s="36"/>
    </row>
    <row r="208" spans="1:2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6"/>
      <c r="T208" s="36"/>
      <c r="U208" s="36"/>
    </row>
    <row r="209" spans="1:2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6"/>
      <c r="T209" s="36"/>
      <c r="U209" s="36"/>
    </row>
    <row r="210" spans="1:2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6"/>
      <c r="T210" s="36"/>
      <c r="U210" s="36"/>
    </row>
    <row r="211" spans="1:2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6"/>
      <c r="T211" s="36"/>
      <c r="U211" s="36"/>
    </row>
    <row r="212" spans="1:2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6"/>
      <c r="T212" s="36"/>
      <c r="U212" s="36"/>
    </row>
    <row r="213" spans="1:2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6"/>
      <c r="T213" s="36"/>
      <c r="U213" s="36"/>
    </row>
    <row r="214" spans="1:2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6"/>
      <c r="T214" s="36"/>
      <c r="U214" s="36"/>
    </row>
    <row r="215" spans="1:2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6"/>
      <c r="T215" s="36"/>
      <c r="U215" s="36"/>
    </row>
    <row r="216" spans="1:2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6"/>
      <c r="T216" s="36"/>
      <c r="U216" s="36"/>
    </row>
    <row r="217" spans="1:2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6"/>
      <c r="T217" s="36"/>
      <c r="U217" s="36"/>
    </row>
    <row r="218" spans="1:2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6"/>
      <c r="T218" s="36"/>
      <c r="U218" s="36"/>
    </row>
    <row r="219" spans="1:2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6"/>
      <c r="T219" s="36"/>
      <c r="U219" s="36"/>
    </row>
    <row r="220" spans="1:2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6"/>
      <c r="T220" s="36"/>
      <c r="U220" s="36"/>
    </row>
    <row r="221" spans="1:2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6"/>
      <c r="T221" s="36"/>
      <c r="U221" s="36"/>
    </row>
    <row r="222" spans="1:2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6"/>
      <c r="T222" s="36"/>
      <c r="U222" s="36"/>
    </row>
    <row r="223" spans="1:2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6"/>
      <c r="T223" s="36"/>
      <c r="U223" s="36"/>
    </row>
    <row r="224" spans="1:2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6"/>
      <c r="T224" s="36"/>
      <c r="U224" s="36"/>
    </row>
    <row r="225" spans="1:2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6"/>
      <c r="T225" s="36"/>
      <c r="U225" s="36"/>
    </row>
    <row r="226" spans="1:2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6"/>
      <c r="T226" s="36"/>
      <c r="U226" s="36"/>
    </row>
    <row r="227" spans="1:2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6"/>
      <c r="T227" s="36"/>
      <c r="U227" s="36"/>
    </row>
    <row r="228" spans="1:2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6"/>
      <c r="T228" s="36"/>
      <c r="U228" s="36"/>
    </row>
    <row r="229" spans="1:2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6"/>
      <c r="T229" s="36"/>
      <c r="U229" s="36"/>
    </row>
    <row r="230" spans="1:2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6"/>
      <c r="T230" s="36"/>
      <c r="U230" s="36"/>
    </row>
    <row r="231" spans="1:2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6"/>
      <c r="T231" s="36"/>
      <c r="U231" s="36"/>
    </row>
    <row r="232" spans="1:2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6"/>
      <c r="T232" s="36"/>
      <c r="U232" s="36"/>
    </row>
    <row r="233" spans="1:2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6"/>
      <c r="T233" s="36"/>
      <c r="U233" s="36"/>
    </row>
    <row r="234" spans="1:2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6"/>
      <c r="T234" s="36"/>
      <c r="U234" s="36"/>
    </row>
    <row r="235" spans="1:2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6"/>
      <c r="T235" s="36"/>
      <c r="U235" s="36"/>
    </row>
    <row r="236" spans="1:2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6"/>
      <c r="T236" s="36"/>
      <c r="U236" s="36"/>
    </row>
    <row r="237" spans="1:2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6"/>
      <c r="T237" s="36"/>
      <c r="U237" s="36"/>
    </row>
    <row r="238" spans="1:2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6"/>
      <c r="T238" s="36"/>
      <c r="U238" s="36"/>
    </row>
    <row r="239" spans="1:2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6"/>
      <c r="T239" s="36"/>
      <c r="U239" s="36"/>
    </row>
    <row r="240" spans="1:2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6"/>
      <c r="T240" s="36"/>
      <c r="U240" s="36"/>
    </row>
    <row r="241" spans="1:2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6"/>
      <c r="T241" s="36"/>
      <c r="U241" s="36"/>
    </row>
    <row r="242" spans="1:2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6"/>
      <c r="T242" s="36"/>
      <c r="U242" s="36"/>
    </row>
    <row r="243" spans="1:2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6"/>
      <c r="T243" s="36"/>
      <c r="U243" s="36"/>
    </row>
    <row r="244" spans="1:2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6"/>
      <c r="T244" s="36"/>
      <c r="U244" s="36"/>
    </row>
    <row r="245" spans="1:2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6"/>
      <c r="T245" s="36"/>
      <c r="U245" s="36"/>
    </row>
    <row r="246" spans="1:2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6"/>
      <c r="T246" s="36"/>
      <c r="U246" s="36"/>
    </row>
    <row r="247" spans="1:2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6"/>
      <c r="T247" s="36"/>
      <c r="U247" s="36"/>
    </row>
    <row r="248" spans="1:2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6"/>
      <c r="T248" s="36"/>
      <c r="U248" s="36"/>
    </row>
    <row r="249" spans="1:2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6"/>
      <c r="T249" s="36"/>
      <c r="U249" s="36"/>
    </row>
    <row r="250" spans="1:2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6"/>
      <c r="T250" s="36"/>
      <c r="U250" s="36"/>
    </row>
    <row r="251" spans="1:2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6"/>
      <c r="T251" s="36"/>
      <c r="U251" s="36"/>
    </row>
    <row r="252" spans="1:2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6"/>
      <c r="T252" s="36"/>
      <c r="U252" s="36"/>
    </row>
    <row r="253" spans="1:2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6"/>
      <c r="T253" s="36"/>
      <c r="U253" s="36"/>
    </row>
    <row r="254" spans="1:2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6"/>
      <c r="T254" s="36"/>
      <c r="U254" s="36"/>
    </row>
    <row r="255" spans="1:2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6"/>
      <c r="T255" s="36"/>
      <c r="U255" s="36"/>
    </row>
    <row r="256" spans="1:2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6"/>
      <c r="T256" s="36"/>
      <c r="U256" s="36"/>
    </row>
    <row r="257" spans="1:2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6"/>
      <c r="T257" s="36"/>
      <c r="U257" s="36"/>
    </row>
    <row r="258" spans="1:2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6"/>
      <c r="T258" s="36"/>
      <c r="U258" s="36"/>
    </row>
    <row r="259" spans="1:2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6"/>
      <c r="T259" s="36"/>
      <c r="U259" s="36"/>
    </row>
    <row r="260" spans="1:2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6"/>
      <c r="T260" s="36"/>
      <c r="U260" s="36"/>
    </row>
    <row r="261" spans="1:2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6"/>
      <c r="T261" s="36"/>
      <c r="U261" s="36"/>
    </row>
    <row r="262" spans="1:2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6"/>
      <c r="T262" s="36"/>
      <c r="U262" s="36"/>
    </row>
    <row r="263" spans="1:2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6"/>
      <c r="T263" s="36"/>
      <c r="U263" s="36"/>
    </row>
    <row r="264" spans="1:2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6"/>
      <c r="T264" s="36"/>
      <c r="U264" s="36"/>
    </row>
    <row r="265" spans="1:2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6"/>
      <c r="T265" s="36"/>
      <c r="U265" s="36"/>
    </row>
    <row r="266" spans="1:2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6"/>
      <c r="T266" s="36"/>
      <c r="U266" s="36"/>
    </row>
    <row r="267" spans="1:2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6"/>
      <c r="T267" s="36"/>
      <c r="U267" s="36"/>
    </row>
    <row r="268" spans="1:2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6"/>
      <c r="T268" s="36"/>
      <c r="U268" s="36"/>
    </row>
    <row r="269" spans="1:2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6"/>
      <c r="T269" s="36"/>
      <c r="U269" s="36"/>
    </row>
    <row r="270" spans="1:2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6"/>
      <c r="T270" s="36"/>
      <c r="U270" s="36"/>
    </row>
    <row r="271" spans="1:2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6"/>
      <c r="T271" s="36"/>
      <c r="U271" s="36"/>
    </row>
    <row r="272" spans="1:2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6"/>
      <c r="T272" s="36"/>
      <c r="U272" s="36"/>
    </row>
    <row r="273" spans="1:2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6"/>
      <c r="T273" s="36"/>
      <c r="U273" s="36"/>
    </row>
    <row r="274" spans="1:2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6"/>
      <c r="T274" s="36"/>
      <c r="U274" s="36"/>
    </row>
    <row r="275" spans="1:2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6"/>
      <c r="T275" s="36"/>
      <c r="U275" s="36"/>
    </row>
    <row r="276" spans="1:2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6"/>
      <c r="T276" s="36"/>
      <c r="U276" s="36"/>
    </row>
    <row r="277" spans="1:2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6"/>
      <c r="T277" s="36"/>
      <c r="U277" s="36"/>
    </row>
    <row r="278" spans="1:2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6"/>
      <c r="T278" s="36"/>
      <c r="U278" s="36"/>
    </row>
    <row r="279" spans="1:2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6"/>
      <c r="T279" s="36"/>
      <c r="U279" s="36"/>
    </row>
    <row r="280" spans="1:2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6"/>
      <c r="T280" s="36"/>
      <c r="U280" s="36"/>
    </row>
    <row r="281" spans="1:2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6"/>
      <c r="T281" s="36"/>
      <c r="U281" s="36"/>
    </row>
    <row r="282" spans="1:2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6"/>
      <c r="T282" s="36"/>
      <c r="U282" s="36"/>
    </row>
    <row r="283" spans="1:2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6"/>
      <c r="T283" s="36"/>
      <c r="U283" s="36"/>
    </row>
    <row r="284" spans="1:2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6"/>
      <c r="T284" s="36"/>
      <c r="U284" s="36"/>
    </row>
    <row r="285" spans="1:2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6"/>
      <c r="T285" s="36"/>
      <c r="U285" s="36"/>
    </row>
    <row r="286" spans="1:2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6"/>
      <c r="T286" s="36"/>
      <c r="U286" s="36"/>
    </row>
    <row r="287" spans="1:2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6"/>
      <c r="T287" s="36"/>
      <c r="U287" s="36"/>
    </row>
    <row r="288" spans="1:2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6"/>
      <c r="T288" s="36"/>
      <c r="U288" s="36"/>
    </row>
    <row r="289" spans="1:2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6"/>
      <c r="T289" s="36"/>
      <c r="U289" s="36"/>
    </row>
    <row r="290" spans="1:21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 spans="1:21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</row>
    <row r="292" spans="1:21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</row>
    <row r="293" spans="1:21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 spans="1:21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 spans="1:21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</row>
    <row r="296" spans="1:21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</row>
    <row r="297" spans="1:21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 spans="1:21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 spans="1:21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</row>
    <row r="300" spans="1:21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</row>
    <row r="301" spans="1:21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 spans="1:21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 spans="1:21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</row>
    <row r="304" spans="1:21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</row>
    <row r="305" spans="1:18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 spans="1:18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 spans="1:18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</row>
    <row r="308" spans="1:18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</row>
    <row r="309" spans="1:18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 spans="1:18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 spans="1:18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</row>
    <row r="312" spans="1:18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</row>
    <row r="313" spans="1:18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</row>
    <row r="314" spans="1:18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</row>
    <row r="315" spans="1:18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</row>
    <row r="316" spans="1:18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</row>
    <row r="317" spans="1:18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</row>
    <row r="318" spans="1:18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</row>
    <row r="319" spans="1:18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</row>
    <row r="320" spans="1:18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</row>
    <row r="321" spans="1:18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</row>
    <row r="322" spans="1:18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</row>
    <row r="323" spans="1:18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</row>
    <row r="324" spans="1:18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</row>
    <row r="325" spans="1:18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</row>
    <row r="326" spans="1:18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</row>
    <row r="327" spans="1:18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</row>
    <row r="328" spans="1:18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</row>
    <row r="329" spans="1:18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</row>
    <row r="330" spans="1:18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</row>
    <row r="331" spans="1:18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</row>
    <row r="332" spans="1:18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</row>
    <row r="333" spans="1:18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</row>
    <row r="334" spans="1:18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</row>
    <row r="335" spans="1:18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</row>
    <row r="336" spans="1:18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</row>
    <row r="337" spans="1:18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</row>
    <row r="338" spans="1:18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</row>
    <row r="339" spans="1:18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</row>
    <row r="340" spans="1:18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</row>
    <row r="341" spans="1:18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</row>
    <row r="342" spans="1:18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</row>
    <row r="343" spans="1:18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</row>
    <row r="344" spans="1:18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</row>
    <row r="345" spans="1:18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</row>
    <row r="346" spans="1:18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</row>
    <row r="347" spans="1:18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</row>
    <row r="348" spans="1:18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</row>
    <row r="349" spans="1:18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</row>
    <row r="350" spans="1:18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</row>
    <row r="351" spans="1:18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</row>
    <row r="352" spans="1:18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</row>
    <row r="353" spans="1:18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</row>
    <row r="354" spans="1:18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</row>
    <row r="355" spans="1:18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</row>
    <row r="356" spans="1:18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</row>
    <row r="357" spans="1:18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</row>
    <row r="358" spans="1:18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</row>
    <row r="359" spans="1:18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</row>
    <row r="360" spans="1:18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</row>
    <row r="361" spans="1:18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</row>
    <row r="362" spans="1:18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</row>
    <row r="363" spans="1:18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</row>
    <row r="364" spans="1:18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</row>
    <row r="365" spans="1:18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</row>
    <row r="366" spans="1:18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</row>
    <row r="367" spans="1:18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</row>
    <row r="368" spans="1:18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</row>
    <row r="369" spans="1:18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</row>
    <row r="370" spans="1:18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</row>
    <row r="371" spans="1:18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</row>
    <row r="372" spans="1:18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</row>
    <row r="373" spans="1:18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</row>
    <row r="374" spans="1:18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</row>
    <row r="375" spans="1:18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</row>
    <row r="376" spans="1:18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</row>
    <row r="377" spans="1:18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</row>
    <row r="378" spans="1:18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</row>
    <row r="379" spans="1:18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</row>
    <row r="380" spans="1:18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</row>
  </sheetData>
  <mergeCells count="8">
    <mergeCell ref="A15:A17"/>
    <mergeCell ref="A18:A19"/>
    <mergeCell ref="C2:M2"/>
    <mergeCell ref="A4:A8"/>
    <mergeCell ref="O4:P4"/>
    <mergeCell ref="A9:A11"/>
    <mergeCell ref="O9:P9"/>
    <mergeCell ref="A13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BD27-7174-49B5-8FFB-DEC9233DDD55}">
  <dimension ref="A1:C34"/>
  <sheetViews>
    <sheetView topLeftCell="A14" workbookViewId="0">
      <selection activeCell="A34" sqref="A19:A34"/>
    </sheetView>
  </sheetViews>
  <sheetFormatPr baseColWidth="10" defaultRowHeight="14.4" x14ac:dyDescent="0.3"/>
  <cols>
    <col min="1" max="1" width="30.88671875" bestFit="1" customWidth="1"/>
    <col min="3" max="3" width="10.33203125" bestFit="1" customWidth="1"/>
  </cols>
  <sheetData>
    <row r="1" spans="1:3" ht="15" thickBot="1" x14ac:dyDescent="0.35">
      <c r="A1" s="38"/>
      <c r="B1" s="39"/>
      <c r="C1" s="38" t="s">
        <v>81</v>
      </c>
    </row>
    <row r="2" spans="1:3" ht="15" thickBot="1" x14ac:dyDescent="0.35">
      <c r="A2" s="39"/>
      <c r="B2" s="39"/>
      <c r="C2" s="39"/>
    </row>
    <row r="3" spans="1:3" ht="29.4" thickBot="1" x14ac:dyDescent="0.35">
      <c r="A3" s="44" t="s">
        <v>116</v>
      </c>
      <c r="B3" s="41"/>
      <c r="C3" s="41" t="s">
        <v>117</v>
      </c>
    </row>
    <row r="4" spans="1:3" ht="29.4" thickBot="1" x14ac:dyDescent="0.35">
      <c r="A4" s="45" t="s">
        <v>118</v>
      </c>
      <c r="B4" s="43"/>
      <c r="C4" s="43" t="s">
        <v>117</v>
      </c>
    </row>
    <row r="5" spans="1:3" ht="56.4" thickBot="1" x14ac:dyDescent="0.35">
      <c r="A5" s="46" t="s">
        <v>119</v>
      </c>
      <c r="B5" s="41"/>
      <c r="C5" s="41" t="s">
        <v>117</v>
      </c>
    </row>
    <row r="6" spans="1:3" ht="56.4" thickBot="1" x14ac:dyDescent="0.35">
      <c r="A6" s="47" t="s">
        <v>120</v>
      </c>
      <c r="B6" s="43"/>
      <c r="C6" s="43" t="s">
        <v>117</v>
      </c>
    </row>
    <row r="7" spans="1:3" ht="70.2" thickBot="1" x14ac:dyDescent="0.35">
      <c r="A7" s="48" t="s">
        <v>121</v>
      </c>
      <c r="B7" s="41"/>
      <c r="C7" s="41" t="s">
        <v>117</v>
      </c>
    </row>
    <row r="8" spans="1:3" ht="56.4" thickBot="1" x14ac:dyDescent="0.35">
      <c r="A8" s="47" t="s">
        <v>122</v>
      </c>
      <c r="B8" s="43"/>
      <c r="C8" s="43" t="s">
        <v>117</v>
      </c>
    </row>
    <row r="9" spans="1:3" ht="70.2" thickBot="1" x14ac:dyDescent="0.35">
      <c r="A9" s="46" t="s">
        <v>123</v>
      </c>
      <c r="B9" s="41"/>
      <c r="C9" s="41" t="s">
        <v>117</v>
      </c>
    </row>
    <row r="10" spans="1:3" ht="56.4" thickBot="1" x14ac:dyDescent="0.35">
      <c r="A10" s="49" t="s">
        <v>124</v>
      </c>
      <c r="B10" s="43"/>
      <c r="C10" s="43" t="s">
        <v>117</v>
      </c>
    </row>
    <row r="11" spans="1:3" ht="56.4" thickBot="1" x14ac:dyDescent="0.35">
      <c r="A11" s="46" t="s">
        <v>125</v>
      </c>
      <c r="B11" s="41"/>
      <c r="C11" s="41" t="s">
        <v>117</v>
      </c>
    </row>
    <row r="12" spans="1:3" ht="15" thickBot="1" x14ac:dyDescent="0.35">
      <c r="A12" s="50" t="s">
        <v>126</v>
      </c>
      <c r="B12" s="43"/>
      <c r="C12" s="43" t="s">
        <v>117</v>
      </c>
    </row>
    <row r="13" spans="1:3" ht="69.599999999999994" thickBot="1" x14ac:dyDescent="0.35">
      <c r="A13" s="51" t="s">
        <v>127</v>
      </c>
      <c r="B13" s="41"/>
      <c r="C13" s="41" t="s">
        <v>117</v>
      </c>
    </row>
    <row r="14" spans="1:3" ht="56.4" thickBot="1" x14ac:dyDescent="0.35">
      <c r="A14" s="47" t="s">
        <v>128</v>
      </c>
      <c r="B14" s="43"/>
      <c r="C14" s="43" t="s">
        <v>117</v>
      </c>
    </row>
    <row r="15" spans="1:3" ht="56.4" thickBot="1" x14ac:dyDescent="0.35">
      <c r="A15" s="46" t="s">
        <v>129</v>
      </c>
      <c r="B15" s="41"/>
      <c r="C15" s="41" t="s">
        <v>117</v>
      </c>
    </row>
    <row r="16" spans="1:3" ht="28.8" thickBot="1" x14ac:dyDescent="0.35">
      <c r="A16" s="49" t="s">
        <v>130</v>
      </c>
      <c r="B16" s="43"/>
      <c r="C16" s="43" t="s">
        <v>117</v>
      </c>
    </row>
    <row r="17" spans="1:3" ht="56.4" thickBot="1" x14ac:dyDescent="0.35">
      <c r="A17" s="46" t="s">
        <v>131</v>
      </c>
      <c r="B17" s="41"/>
      <c r="C17" s="41" t="s">
        <v>117</v>
      </c>
    </row>
    <row r="18" spans="1:3" ht="70.2" thickBot="1" x14ac:dyDescent="0.35">
      <c r="A18" s="47" t="s">
        <v>132</v>
      </c>
      <c r="B18" s="43"/>
      <c r="C18" s="43" t="s">
        <v>117</v>
      </c>
    </row>
    <row r="19" spans="1:3" ht="56.4" thickBot="1" x14ac:dyDescent="0.35">
      <c r="A19" s="46" t="s">
        <v>133</v>
      </c>
      <c r="B19" s="41"/>
      <c r="C19" s="41" t="s">
        <v>134</v>
      </c>
    </row>
    <row r="20" spans="1:3" ht="28.8" thickBot="1" x14ac:dyDescent="0.35">
      <c r="A20" s="49" t="s">
        <v>135</v>
      </c>
      <c r="B20" s="43"/>
      <c r="C20" s="43" t="s">
        <v>134</v>
      </c>
    </row>
    <row r="21" spans="1:3" ht="28.8" thickBot="1" x14ac:dyDescent="0.35">
      <c r="A21" s="46" t="s">
        <v>136</v>
      </c>
      <c r="B21" s="41"/>
      <c r="C21" s="41" t="s">
        <v>134</v>
      </c>
    </row>
    <row r="22" spans="1:3" ht="28.8" thickBot="1" x14ac:dyDescent="0.35">
      <c r="A22" s="47" t="s">
        <v>137</v>
      </c>
      <c r="B22" s="43"/>
      <c r="C22" s="43" t="s">
        <v>134</v>
      </c>
    </row>
    <row r="23" spans="1:3" ht="28.8" thickBot="1" x14ac:dyDescent="0.35">
      <c r="A23" s="46" t="s">
        <v>138</v>
      </c>
      <c r="B23" s="41"/>
      <c r="C23" s="41" t="s">
        <v>134</v>
      </c>
    </row>
    <row r="24" spans="1:3" ht="28.8" thickBot="1" x14ac:dyDescent="0.35">
      <c r="A24" s="47" t="s">
        <v>139</v>
      </c>
      <c r="B24" s="43"/>
      <c r="C24" s="43" t="s">
        <v>134</v>
      </c>
    </row>
    <row r="25" spans="1:3" ht="28.8" thickBot="1" x14ac:dyDescent="0.35">
      <c r="A25" s="46" t="s">
        <v>140</v>
      </c>
      <c r="B25" s="41"/>
      <c r="C25" s="41" t="s">
        <v>134</v>
      </c>
    </row>
    <row r="26" spans="1:3" ht="28.8" thickBot="1" x14ac:dyDescent="0.35">
      <c r="A26" s="49" t="s">
        <v>141</v>
      </c>
      <c r="B26" s="43"/>
      <c r="C26" s="43" t="s">
        <v>134</v>
      </c>
    </row>
    <row r="27" spans="1:3" ht="28.8" thickBot="1" x14ac:dyDescent="0.35">
      <c r="A27" s="46" t="s">
        <v>142</v>
      </c>
      <c r="B27" s="41"/>
      <c r="C27" s="41" t="s">
        <v>134</v>
      </c>
    </row>
    <row r="28" spans="1:3" ht="28.8" thickBot="1" x14ac:dyDescent="0.35">
      <c r="A28" s="49" t="s">
        <v>143</v>
      </c>
      <c r="B28" s="43"/>
      <c r="C28" s="43" t="s">
        <v>134</v>
      </c>
    </row>
    <row r="29" spans="1:3" ht="28.8" thickBot="1" x14ac:dyDescent="0.35">
      <c r="A29" s="46" t="s">
        <v>144</v>
      </c>
      <c r="B29" s="41"/>
      <c r="C29" s="41" t="s">
        <v>134</v>
      </c>
    </row>
    <row r="30" spans="1:3" ht="28.8" thickBot="1" x14ac:dyDescent="0.35">
      <c r="A30" s="47" t="s">
        <v>145</v>
      </c>
      <c r="B30" s="43"/>
      <c r="C30" s="43" t="s">
        <v>134</v>
      </c>
    </row>
    <row r="31" spans="1:3" ht="28.8" thickBot="1" x14ac:dyDescent="0.35">
      <c r="A31" s="48" t="s">
        <v>146</v>
      </c>
      <c r="B31" s="41"/>
      <c r="C31" s="41" t="s">
        <v>134</v>
      </c>
    </row>
    <row r="32" spans="1:3" ht="28.8" thickBot="1" x14ac:dyDescent="0.35">
      <c r="A32" s="49" t="s">
        <v>147</v>
      </c>
      <c r="B32" s="43"/>
      <c r="C32" s="43" t="s">
        <v>134</v>
      </c>
    </row>
    <row r="33" spans="1:3" ht="15" thickBot="1" x14ac:dyDescent="0.35">
      <c r="A33" s="46" t="s">
        <v>148</v>
      </c>
      <c r="B33" s="41"/>
      <c r="C33" s="41" t="s">
        <v>134</v>
      </c>
    </row>
    <row r="34" spans="1:3" ht="28.8" thickBot="1" x14ac:dyDescent="0.35">
      <c r="A34" s="49" t="s">
        <v>149</v>
      </c>
      <c r="B34" s="43"/>
      <c r="C34" s="4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7C5B-4074-4E28-B979-F1C013224B39}">
  <dimension ref="A1:C34"/>
  <sheetViews>
    <sheetView workbookViewId="0">
      <selection activeCell="F7" sqref="F7"/>
    </sheetView>
  </sheetViews>
  <sheetFormatPr baseColWidth="10" defaultRowHeight="14.4" x14ac:dyDescent="0.3"/>
  <sheetData>
    <row r="1" spans="1:3" ht="15" thickBot="1" x14ac:dyDescent="0.35">
      <c r="A1" s="38"/>
      <c r="B1" s="39"/>
      <c r="C1" s="38" t="s">
        <v>81</v>
      </c>
    </row>
    <row r="2" spans="1:3" ht="15" thickBot="1" x14ac:dyDescent="0.35">
      <c r="A2" s="39"/>
      <c r="B2" s="39"/>
      <c r="C2" s="39"/>
    </row>
    <row r="3" spans="1:3" ht="15" thickBot="1" x14ac:dyDescent="0.35">
      <c r="A3" s="40" t="s">
        <v>82</v>
      </c>
      <c r="B3" s="41"/>
      <c r="C3" s="41" t="s">
        <v>83</v>
      </c>
    </row>
    <row r="4" spans="1:3" ht="15" thickBot="1" x14ac:dyDescent="0.35">
      <c r="A4" s="42" t="s">
        <v>84</v>
      </c>
      <c r="B4" s="43"/>
      <c r="C4" s="43" t="s">
        <v>83</v>
      </c>
    </row>
    <row r="5" spans="1:3" ht="15" thickBot="1" x14ac:dyDescent="0.35">
      <c r="A5" s="40" t="s">
        <v>85</v>
      </c>
      <c r="B5" s="41"/>
      <c r="C5" s="41" t="s">
        <v>83</v>
      </c>
    </row>
    <row r="6" spans="1:3" ht="15" thickBot="1" x14ac:dyDescent="0.35">
      <c r="A6" s="42" t="s">
        <v>86</v>
      </c>
      <c r="B6" s="43"/>
      <c r="C6" s="43" t="s">
        <v>83</v>
      </c>
    </row>
    <row r="7" spans="1:3" ht="15" thickBot="1" x14ac:dyDescent="0.35">
      <c r="A7" s="40" t="s">
        <v>87</v>
      </c>
      <c r="B7" s="41"/>
      <c r="C7" s="41" t="s">
        <v>83</v>
      </c>
    </row>
    <row r="8" spans="1:3" ht="15" thickBot="1" x14ac:dyDescent="0.35">
      <c r="A8" s="42" t="s">
        <v>88</v>
      </c>
      <c r="B8" s="43"/>
      <c r="C8" s="43" t="s">
        <v>83</v>
      </c>
    </row>
    <row r="9" spans="1:3" ht="15" thickBot="1" x14ac:dyDescent="0.35">
      <c r="A9" s="40" t="s">
        <v>89</v>
      </c>
      <c r="B9" s="41"/>
      <c r="C9" s="41" t="s">
        <v>83</v>
      </c>
    </row>
    <row r="10" spans="1:3" ht="15" thickBot="1" x14ac:dyDescent="0.35">
      <c r="A10" s="42" t="s">
        <v>90</v>
      </c>
      <c r="B10" s="43"/>
      <c r="C10" s="43" t="s">
        <v>83</v>
      </c>
    </row>
    <row r="11" spans="1:3" ht="15" thickBot="1" x14ac:dyDescent="0.35">
      <c r="A11" s="40" t="s">
        <v>91</v>
      </c>
      <c r="B11" s="41"/>
      <c r="C11" s="41" t="s">
        <v>83</v>
      </c>
    </row>
    <row r="12" spans="1:3" ht="15" thickBot="1" x14ac:dyDescent="0.35">
      <c r="A12" s="42" t="s">
        <v>92</v>
      </c>
      <c r="B12" s="43"/>
      <c r="C12" s="43" t="s">
        <v>83</v>
      </c>
    </row>
    <row r="13" spans="1:3" ht="15" thickBot="1" x14ac:dyDescent="0.35">
      <c r="A13" s="40" t="s">
        <v>93</v>
      </c>
      <c r="B13" s="41"/>
      <c r="C13" s="41" t="s">
        <v>83</v>
      </c>
    </row>
    <row r="14" spans="1:3" ht="15" thickBot="1" x14ac:dyDescent="0.35">
      <c r="A14" s="42" t="s">
        <v>94</v>
      </c>
      <c r="B14" s="43"/>
      <c r="C14" s="43" t="s">
        <v>83</v>
      </c>
    </row>
    <row r="15" spans="1:3" ht="15" thickBot="1" x14ac:dyDescent="0.35">
      <c r="A15" s="40" t="s">
        <v>95</v>
      </c>
      <c r="B15" s="41"/>
      <c r="C15" s="41" t="s">
        <v>83</v>
      </c>
    </row>
    <row r="16" spans="1:3" ht="15" thickBot="1" x14ac:dyDescent="0.35">
      <c r="A16" s="42" t="s">
        <v>96</v>
      </c>
      <c r="B16" s="43"/>
      <c r="C16" s="43" t="s">
        <v>83</v>
      </c>
    </row>
    <row r="17" spans="1:3" ht="15" thickBot="1" x14ac:dyDescent="0.35">
      <c r="A17" s="40" t="s">
        <v>97</v>
      </c>
      <c r="B17" s="41"/>
      <c r="C17" s="41" t="s">
        <v>98</v>
      </c>
    </row>
    <row r="18" spans="1:3" ht="15" thickBot="1" x14ac:dyDescent="0.35">
      <c r="A18" s="42" t="s">
        <v>99</v>
      </c>
      <c r="B18" s="43"/>
      <c r="C18" s="43" t="s">
        <v>98</v>
      </c>
    </row>
    <row r="19" spans="1:3" ht="15" thickBot="1" x14ac:dyDescent="0.35">
      <c r="A19" s="40" t="s">
        <v>100</v>
      </c>
      <c r="B19" s="41"/>
      <c r="C19" s="41" t="s">
        <v>98</v>
      </c>
    </row>
    <row r="20" spans="1:3" ht="15" thickBot="1" x14ac:dyDescent="0.35">
      <c r="A20" s="42" t="s">
        <v>101</v>
      </c>
      <c r="B20" s="43"/>
      <c r="C20" s="43" t="s">
        <v>98</v>
      </c>
    </row>
    <row r="21" spans="1:3" ht="15" thickBot="1" x14ac:dyDescent="0.35">
      <c r="A21" s="40" t="s">
        <v>102</v>
      </c>
      <c r="B21" s="41"/>
      <c r="C21" s="41" t="s">
        <v>98</v>
      </c>
    </row>
    <row r="22" spans="1:3" ht="15" thickBot="1" x14ac:dyDescent="0.35">
      <c r="A22" s="42" t="s">
        <v>103</v>
      </c>
      <c r="B22" s="43"/>
      <c r="C22" s="43" t="s">
        <v>98</v>
      </c>
    </row>
    <row r="23" spans="1:3" ht="15" thickBot="1" x14ac:dyDescent="0.35">
      <c r="A23" s="40" t="s">
        <v>104</v>
      </c>
      <c r="B23" s="41"/>
      <c r="C23" s="41" t="s">
        <v>98</v>
      </c>
    </row>
    <row r="24" spans="1:3" ht="15" thickBot="1" x14ac:dyDescent="0.35">
      <c r="A24" s="42" t="s">
        <v>105</v>
      </c>
      <c r="B24" s="43"/>
      <c r="C24" s="43" t="s">
        <v>98</v>
      </c>
    </row>
    <row r="25" spans="1:3" ht="15" thickBot="1" x14ac:dyDescent="0.35">
      <c r="A25" s="40" t="s">
        <v>106</v>
      </c>
      <c r="B25" s="41"/>
      <c r="C25" s="41" t="s">
        <v>98</v>
      </c>
    </row>
    <row r="26" spans="1:3" ht="15" thickBot="1" x14ac:dyDescent="0.35">
      <c r="A26" s="42" t="s">
        <v>107</v>
      </c>
      <c r="B26" s="43"/>
      <c r="C26" s="43" t="s">
        <v>98</v>
      </c>
    </row>
    <row r="27" spans="1:3" ht="15" thickBot="1" x14ac:dyDescent="0.35">
      <c r="A27" s="40" t="s">
        <v>108</v>
      </c>
      <c r="B27" s="41"/>
      <c r="C27" s="41" t="s">
        <v>98</v>
      </c>
    </row>
    <row r="28" spans="1:3" ht="15" thickBot="1" x14ac:dyDescent="0.35">
      <c r="A28" s="42" t="s">
        <v>109</v>
      </c>
      <c r="B28" s="43"/>
      <c r="C28" s="43" t="s">
        <v>98</v>
      </c>
    </row>
    <row r="29" spans="1:3" ht="15" thickBot="1" x14ac:dyDescent="0.35">
      <c r="A29" s="40" t="s">
        <v>110</v>
      </c>
      <c r="B29" s="41"/>
      <c r="C29" s="41" t="s">
        <v>98</v>
      </c>
    </row>
    <row r="30" spans="1:3" ht="15" thickBot="1" x14ac:dyDescent="0.35">
      <c r="A30" s="42" t="s">
        <v>111</v>
      </c>
      <c r="B30" s="43"/>
      <c r="C30" s="43" t="s">
        <v>98</v>
      </c>
    </row>
    <row r="31" spans="1:3" ht="15" thickBot="1" x14ac:dyDescent="0.35">
      <c r="A31" s="40" t="s">
        <v>112</v>
      </c>
      <c r="B31" s="41"/>
      <c r="C31" s="41" t="s">
        <v>98</v>
      </c>
    </row>
    <row r="32" spans="1:3" ht="15" thickBot="1" x14ac:dyDescent="0.35">
      <c r="A32" s="42" t="s">
        <v>113</v>
      </c>
      <c r="B32" s="43"/>
      <c r="C32" s="43" t="s">
        <v>83</v>
      </c>
    </row>
    <row r="33" spans="1:3" ht="15" thickBot="1" x14ac:dyDescent="0.35">
      <c r="A33" s="40" t="s">
        <v>114</v>
      </c>
      <c r="B33" s="41"/>
      <c r="C33" s="41" t="s">
        <v>98</v>
      </c>
    </row>
    <row r="34" spans="1:3" ht="15" thickBot="1" x14ac:dyDescent="0.35">
      <c r="A34" s="42" t="s">
        <v>115</v>
      </c>
      <c r="B34" s="43"/>
      <c r="C34" s="43" t="s">
        <v>83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80A4-0C4F-47E3-B923-9BFC6328B9A8}">
  <dimension ref="A1:W34"/>
  <sheetViews>
    <sheetView tabSelected="1" zoomScale="60" zoomScaleNormal="60" workbookViewId="0">
      <selection activeCell="U33" sqref="U33:U34"/>
    </sheetView>
  </sheetViews>
  <sheetFormatPr baseColWidth="10" defaultRowHeight="14.4" x14ac:dyDescent="0.3"/>
  <cols>
    <col min="1" max="1" width="47.88671875" customWidth="1"/>
    <col min="5" max="5" width="16.77734375" customWidth="1"/>
    <col min="9" max="9" width="12.6640625" customWidth="1"/>
    <col min="13" max="13" width="15.109375" customWidth="1"/>
    <col min="14" max="14" width="13.88671875" customWidth="1"/>
    <col min="20" max="20" width="14.88671875" customWidth="1"/>
  </cols>
  <sheetData>
    <row r="1" spans="1:23" x14ac:dyDescent="0.3">
      <c r="A1" s="52"/>
      <c r="B1" s="73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52"/>
      <c r="W1" s="62"/>
    </row>
    <row r="2" spans="1:23" ht="62.4" x14ac:dyDescent="0.3">
      <c r="A2" s="100" t="s">
        <v>150</v>
      </c>
      <c r="B2" s="58" t="s">
        <v>3</v>
      </c>
      <c r="C2" s="58" t="s">
        <v>7</v>
      </c>
      <c r="D2" s="58" t="s">
        <v>11</v>
      </c>
      <c r="E2" s="58" t="s">
        <v>20</v>
      </c>
      <c r="F2" s="58" t="s">
        <v>29</v>
      </c>
      <c r="G2" s="58" t="s">
        <v>34</v>
      </c>
      <c r="H2" s="58" t="s">
        <v>39</v>
      </c>
      <c r="I2" s="58" t="s">
        <v>43</v>
      </c>
      <c r="J2" s="58" t="s">
        <v>52</v>
      </c>
      <c r="K2" s="58" t="s">
        <v>57</v>
      </c>
      <c r="L2" s="58" t="s">
        <v>60</v>
      </c>
      <c r="M2" s="58" t="s">
        <v>68</v>
      </c>
      <c r="N2" s="58" t="s">
        <v>71</v>
      </c>
      <c r="O2" s="58" t="s">
        <v>72</v>
      </c>
      <c r="P2" s="58" t="s">
        <v>77</v>
      </c>
      <c r="Q2" s="58" t="s">
        <v>80</v>
      </c>
      <c r="R2" s="58" t="s">
        <v>151</v>
      </c>
      <c r="S2" s="58" t="s">
        <v>152</v>
      </c>
      <c r="T2" s="58" t="s">
        <v>153</v>
      </c>
      <c r="U2" s="58" t="s">
        <v>154</v>
      </c>
      <c r="V2" s="59"/>
      <c r="W2" s="58" t="s">
        <v>155</v>
      </c>
    </row>
    <row r="3" spans="1:23" x14ac:dyDescent="0.3">
      <c r="A3" s="101" t="s">
        <v>133</v>
      </c>
      <c r="B3" s="76">
        <v>3</v>
      </c>
      <c r="C3" s="76">
        <v>2</v>
      </c>
      <c r="D3" s="76">
        <v>0</v>
      </c>
      <c r="E3" s="76">
        <v>0</v>
      </c>
      <c r="F3" s="76">
        <v>0</v>
      </c>
      <c r="G3" s="76">
        <v>5</v>
      </c>
      <c r="H3" s="76">
        <v>5</v>
      </c>
      <c r="I3" s="76">
        <v>0</v>
      </c>
      <c r="J3" s="76">
        <v>0</v>
      </c>
      <c r="K3" s="76">
        <v>0</v>
      </c>
      <c r="L3" s="76">
        <v>6</v>
      </c>
      <c r="M3" s="76">
        <v>0</v>
      </c>
      <c r="N3" s="76">
        <v>4</v>
      </c>
      <c r="O3" s="76">
        <v>0</v>
      </c>
      <c r="P3" s="76">
        <v>5</v>
      </c>
      <c r="Q3" s="76">
        <v>4</v>
      </c>
      <c r="R3" s="76">
        <v>5</v>
      </c>
      <c r="S3" s="76">
        <v>0</v>
      </c>
      <c r="T3" s="76">
        <v>0</v>
      </c>
      <c r="U3" s="78">
        <v>-20</v>
      </c>
      <c r="V3" s="80"/>
      <c r="W3" s="76">
        <f>+SUM(B3:U3)</f>
        <v>19</v>
      </c>
    </row>
    <row r="4" spans="1:23" x14ac:dyDescent="0.3">
      <c r="A4" s="101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9"/>
      <c r="V4" s="80"/>
      <c r="W4" s="77"/>
    </row>
    <row r="5" spans="1:23" x14ac:dyDescent="0.3">
      <c r="A5" s="102" t="s">
        <v>135</v>
      </c>
      <c r="B5" s="76">
        <v>3</v>
      </c>
      <c r="C5" s="76">
        <v>4</v>
      </c>
      <c r="D5" s="76">
        <v>3</v>
      </c>
      <c r="E5" s="76">
        <v>6</v>
      </c>
      <c r="F5" s="76">
        <v>0</v>
      </c>
      <c r="G5" s="76">
        <v>5</v>
      </c>
      <c r="H5" s="76">
        <v>5</v>
      </c>
      <c r="I5" s="76">
        <v>0</v>
      </c>
      <c r="J5" s="76">
        <v>10</v>
      </c>
      <c r="K5" s="76">
        <v>5</v>
      </c>
      <c r="L5" s="76">
        <v>10</v>
      </c>
      <c r="M5" s="76">
        <v>5</v>
      </c>
      <c r="N5" s="76">
        <v>10</v>
      </c>
      <c r="O5" s="76">
        <v>0</v>
      </c>
      <c r="P5" s="76">
        <v>5</v>
      </c>
      <c r="Q5" s="76">
        <v>2</v>
      </c>
      <c r="R5" s="76">
        <v>4</v>
      </c>
      <c r="S5" s="76">
        <v>0</v>
      </c>
      <c r="T5" s="76">
        <v>0</v>
      </c>
      <c r="U5" s="78">
        <v>-10</v>
      </c>
      <c r="V5" s="80"/>
      <c r="W5" s="76">
        <f t="shared" ref="W5" si="0">+SUM(B5:U5)</f>
        <v>67</v>
      </c>
    </row>
    <row r="6" spans="1:23" x14ac:dyDescent="0.3">
      <c r="A6" s="102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9"/>
      <c r="V6" s="80"/>
      <c r="W6" s="77"/>
    </row>
    <row r="7" spans="1:23" x14ac:dyDescent="0.3">
      <c r="A7" s="101" t="s">
        <v>136</v>
      </c>
      <c r="B7" s="76">
        <v>3</v>
      </c>
      <c r="C7" s="76">
        <v>4</v>
      </c>
      <c r="D7" s="76">
        <v>6</v>
      </c>
      <c r="E7" s="76">
        <v>6</v>
      </c>
      <c r="F7" s="76">
        <v>0</v>
      </c>
      <c r="G7" s="76">
        <v>5</v>
      </c>
      <c r="H7" s="76">
        <v>5</v>
      </c>
      <c r="I7" s="76">
        <v>5</v>
      </c>
      <c r="J7" s="76">
        <v>10</v>
      </c>
      <c r="K7" s="76">
        <v>5</v>
      </c>
      <c r="L7" s="76">
        <v>10</v>
      </c>
      <c r="M7" s="76">
        <v>5</v>
      </c>
      <c r="N7" s="76">
        <v>10</v>
      </c>
      <c r="O7" s="76">
        <v>5</v>
      </c>
      <c r="P7" s="76">
        <v>5</v>
      </c>
      <c r="Q7" s="76">
        <v>10</v>
      </c>
      <c r="R7" s="76">
        <v>5</v>
      </c>
      <c r="S7" s="76">
        <v>0</v>
      </c>
      <c r="T7" s="76">
        <v>0</v>
      </c>
      <c r="U7" s="78">
        <v>0</v>
      </c>
      <c r="V7" s="80"/>
      <c r="W7" s="76">
        <f t="shared" ref="W7" si="1">+SUM(B7:U7)</f>
        <v>99</v>
      </c>
    </row>
    <row r="8" spans="1:23" x14ac:dyDescent="0.3">
      <c r="A8" s="101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9"/>
      <c r="V8" s="80"/>
      <c r="W8" s="77"/>
    </row>
    <row r="9" spans="1:23" x14ac:dyDescent="0.3">
      <c r="A9" s="102" t="s">
        <v>137</v>
      </c>
      <c r="B9" s="76">
        <v>3</v>
      </c>
      <c r="C9" s="76">
        <v>2</v>
      </c>
      <c r="D9" s="76">
        <v>6</v>
      </c>
      <c r="E9" s="76">
        <v>6</v>
      </c>
      <c r="F9" s="76">
        <v>0</v>
      </c>
      <c r="G9" s="76">
        <v>5</v>
      </c>
      <c r="H9" s="76">
        <v>5</v>
      </c>
      <c r="I9" s="76">
        <v>5</v>
      </c>
      <c r="J9" s="76">
        <v>10</v>
      </c>
      <c r="K9" s="76">
        <v>5</v>
      </c>
      <c r="L9" s="76">
        <v>10</v>
      </c>
      <c r="M9" s="76">
        <v>5</v>
      </c>
      <c r="N9" s="76">
        <v>10</v>
      </c>
      <c r="O9" s="76">
        <v>5</v>
      </c>
      <c r="P9" s="76">
        <v>5</v>
      </c>
      <c r="Q9" s="76">
        <v>6</v>
      </c>
      <c r="R9" s="76">
        <v>0</v>
      </c>
      <c r="S9" s="76">
        <v>0</v>
      </c>
      <c r="T9" s="76">
        <v>0</v>
      </c>
      <c r="U9" s="78">
        <v>0</v>
      </c>
      <c r="V9" s="80"/>
      <c r="W9" s="76">
        <f t="shared" ref="W9" si="2">+SUM(B9:U9)</f>
        <v>88</v>
      </c>
    </row>
    <row r="10" spans="1:23" x14ac:dyDescent="0.3">
      <c r="A10" s="102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9"/>
      <c r="V10" s="80"/>
      <c r="W10" s="77"/>
    </row>
    <row r="11" spans="1:23" x14ac:dyDescent="0.3">
      <c r="A11" s="101" t="s">
        <v>138</v>
      </c>
      <c r="B11" s="76">
        <v>3</v>
      </c>
      <c r="C11" s="76">
        <v>2</v>
      </c>
      <c r="D11" s="76">
        <v>6</v>
      </c>
      <c r="E11" s="76">
        <v>6</v>
      </c>
      <c r="F11" s="76">
        <v>6</v>
      </c>
      <c r="G11" s="76">
        <v>5</v>
      </c>
      <c r="H11" s="76">
        <v>5</v>
      </c>
      <c r="I11" s="76">
        <v>5</v>
      </c>
      <c r="J11" s="76">
        <v>10</v>
      </c>
      <c r="K11" s="76">
        <v>5</v>
      </c>
      <c r="L11" s="76">
        <v>6</v>
      </c>
      <c r="M11" s="76">
        <v>5</v>
      </c>
      <c r="N11" s="76">
        <v>6</v>
      </c>
      <c r="O11" s="76">
        <v>3</v>
      </c>
      <c r="P11" s="76">
        <v>5</v>
      </c>
      <c r="Q11" s="76">
        <v>6</v>
      </c>
      <c r="R11" s="76">
        <v>5</v>
      </c>
      <c r="S11" s="76">
        <v>0</v>
      </c>
      <c r="T11" s="76">
        <v>0</v>
      </c>
      <c r="U11" s="78">
        <v>0</v>
      </c>
      <c r="V11" s="80"/>
      <c r="W11" s="76">
        <f t="shared" ref="W11" si="3">+SUM(B11:U11)</f>
        <v>89</v>
      </c>
    </row>
    <row r="12" spans="1:23" x14ac:dyDescent="0.3">
      <c r="A12" s="101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9"/>
      <c r="V12" s="80"/>
      <c r="W12" s="77"/>
    </row>
    <row r="13" spans="1:23" x14ac:dyDescent="0.3">
      <c r="A13" s="102" t="s">
        <v>139</v>
      </c>
      <c r="B13" s="76">
        <v>3</v>
      </c>
      <c r="C13" s="76">
        <v>4</v>
      </c>
      <c r="D13" s="76">
        <v>6</v>
      </c>
      <c r="E13" s="76">
        <v>6</v>
      </c>
      <c r="F13" s="76">
        <v>0</v>
      </c>
      <c r="G13" s="76">
        <v>5</v>
      </c>
      <c r="H13" s="76">
        <v>5</v>
      </c>
      <c r="I13" s="76">
        <v>5</v>
      </c>
      <c r="J13" s="76">
        <v>10</v>
      </c>
      <c r="K13" s="76">
        <v>5</v>
      </c>
      <c r="L13" s="76">
        <v>8</v>
      </c>
      <c r="M13" s="76">
        <v>5</v>
      </c>
      <c r="N13" s="76">
        <v>8</v>
      </c>
      <c r="O13" s="76">
        <v>5</v>
      </c>
      <c r="P13" s="76">
        <v>5</v>
      </c>
      <c r="Q13" s="76">
        <v>6</v>
      </c>
      <c r="R13" s="76">
        <v>5</v>
      </c>
      <c r="S13" s="76">
        <v>0</v>
      </c>
      <c r="T13" s="76">
        <v>0</v>
      </c>
      <c r="U13" s="78">
        <v>0</v>
      </c>
      <c r="V13" s="80"/>
      <c r="W13" s="76">
        <f t="shared" ref="W13" si="4">+SUM(B13:U13)</f>
        <v>91</v>
      </c>
    </row>
    <row r="14" spans="1:23" x14ac:dyDescent="0.3">
      <c r="A14" s="102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9"/>
      <c r="V14" s="80"/>
      <c r="W14" s="77"/>
    </row>
    <row r="15" spans="1:23" x14ac:dyDescent="0.3">
      <c r="A15" s="101" t="s">
        <v>140</v>
      </c>
      <c r="B15" s="76">
        <v>3</v>
      </c>
      <c r="C15" s="76">
        <v>4</v>
      </c>
      <c r="D15" s="76">
        <v>6</v>
      </c>
      <c r="E15" s="76">
        <v>6</v>
      </c>
      <c r="F15" s="76">
        <v>0</v>
      </c>
      <c r="G15" s="76">
        <v>5</v>
      </c>
      <c r="H15" s="76">
        <v>5</v>
      </c>
      <c r="I15" s="76">
        <v>5</v>
      </c>
      <c r="J15" s="76">
        <v>10</v>
      </c>
      <c r="K15" s="76">
        <v>5</v>
      </c>
      <c r="L15" s="76">
        <v>10</v>
      </c>
      <c r="M15" s="76">
        <v>5</v>
      </c>
      <c r="N15" s="76">
        <v>10</v>
      </c>
      <c r="O15" s="76">
        <v>3</v>
      </c>
      <c r="P15" s="76">
        <v>5</v>
      </c>
      <c r="Q15" s="76">
        <v>8</v>
      </c>
      <c r="R15" s="76">
        <v>5</v>
      </c>
      <c r="S15" s="76">
        <v>0</v>
      </c>
      <c r="T15" s="76">
        <v>0</v>
      </c>
      <c r="U15" s="78">
        <v>0</v>
      </c>
      <c r="V15" s="80"/>
      <c r="W15" s="76">
        <f t="shared" ref="W15" si="5">+SUM(B15:U15)</f>
        <v>95</v>
      </c>
    </row>
    <row r="16" spans="1:23" x14ac:dyDescent="0.3">
      <c r="A16" s="101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9"/>
      <c r="V16" s="80"/>
      <c r="W16" s="77"/>
    </row>
    <row r="17" spans="1:23" x14ac:dyDescent="0.3">
      <c r="A17" s="102" t="s">
        <v>141</v>
      </c>
      <c r="B17" s="76">
        <v>3</v>
      </c>
      <c r="C17" s="76">
        <v>4</v>
      </c>
      <c r="D17" s="76">
        <v>6</v>
      </c>
      <c r="E17" s="76">
        <v>6</v>
      </c>
      <c r="F17" s="76">
        <v>0</v>
      </c>
      <c r="G17" s="76">
        <v>5</v>
      </c>
      <c r="H17" s="76">
        <v>5</v>
      </c>
      <c r="I17" s="76">
        <v>0</v>
      </c>
      <c r="J17" s="76">
        <v>10</v>
      </c>
      <c r="K17" s="76">
        <v>5</v>
      </c>
      <c r="L17" s="76">
        <v>10</v>
      </c>
      <c r="M17" s="76">
        <v>5</v>
      </c>
      <c r="N17" s="76">
        <v>10</v>
      </c>
      <c r="O17" s="76">
        <v>3</v>
      </c>
      <c r="P17" s="76">
        <v>5</v>
      </c>
      <c r="Q17" s="76">
        <v>6</v>
      </c>
      <c r="R17" s="76">
        <v>5</v>
      </c>
      <c r="S17" s="76">
        <v>0</v>
      </c>
      <c r="T17" s="76">
        <v>0</v>
      </c>
      <c r="U17" s="78">
        <v>0</v>
      </c>
      <c r="V17" s="80"/>
      <c r="W17" s="76">
        <f t="shared" ref="W17" si="6">+SUM(B17:U17)</f>
        <v>88</v>
      </c>
    </row>
    <row r="18" spans="1:23" x14ac:dyDescent="0.3">
      <c r="A18" s="102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9"/>
      <c r="V18" s="80"/>
      <c r="W18" s="77"/>
    </row>
    <row r="19" spans="1:23" x14ac:dyDescent="0.3">
      <c r="A19" s="101" t="s">
        <v>142</v>
      </c>
      <c r="B19" s="76">
        <v>0</v>
      </c>
      <c r="C19" s="76">
        <v>4</v>
      </c>
      <c r="D19" s="76">
        <v>6</v>
      </c>
      <c r="E19" s="76">
        <v>6</v>
      </c>
      <c r="F19" s="76">
        <v>6</v>
      </c>
      <c r="G19" s="76">
        <v>5</v>
      </c>
      <c r="H19" s="76">
        <v>5</v>
      </c>
      <c r="I19" s="76">
        <v>5</v>
      </c>
      <c r="J19" s="76">
        <v>10</v>
      </c>
      <c r="K19" s="76">
        <v>5</v>
      </c>
      <c r="L19" s="76">
        <v>8</v>
      </c>
      <c r="M19" s="76">
        <v>5</v>
      </c>
      <c r="N19" s="76">
        <v>8</v>
      </c>
      <c r="O19" s="76">
        <v>5</v>
      </c>
      <c r="P19" s="76">
        <v>5</v>
      </c>
      <c r="Q19" s="76">
        <v>10</v>
      </c>
      <c r="R19" s="76">
        <v>1</v>
      </c>
      <c r="S19" s="76">
        <v>0</v>
      </c>
      <c r="T19" s="76">
        <v>0</v>
      </c>
      <c r="U19" s="78">
        <v>0</v>
      </c>
      <c r="V19" s="80"/>
      <c r="W19" s="76">
        <f t="shared" ref="W19" si="7">+SUM(B19:U19)</f>
        <v>94</v>
      </c>
    </row>
    <row r="20" spans="1:23" x14ac:dyDescent="0.3">
      <c r="A20" s="101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9"/>
      <c r="V20" s="80"/>
      <c r="W20" s="77"/>
    </row>
    <row r="21" spans="1:23" x14ac:dyDescent="0.3">
      <c r="A21" s="102" t="s">
        <v>143</v>
      </c>
      <c r="B21" s="76">
        <v>3</v>
      </c>
      <c r="C21" s="76">
        <v>4</v>
      </c>
      <c r="D21" s="76">
        <v>6</v>
      </c>
      <c r="E21" s="76">
        <v>6</v>
      </c>
      <c r="F21" s="76">
        <v>6</v>
      </c>
      <c r="G21" s="76">
        <v>5</v>
      </c>
      <c r="H21" s="76">
        <v>5</v>
      </c>
      <c r="I21" s="76">
        <v>5</v>
      </c>
      <c r="J21" s="76">
        <v>10</v>
      </c>
      <c r="K21" s="76">
        <v>5</v>
      </c>
      <c r="L21" s="76">
        <v>4</v>
      </c>
      <c r="M21" s="76">
        <v>5</v>
      </c>
      <c r="N21" s="76">
        <v>2</v>
      </c>
      <c r="O21" s="76">
        <v>0</v>
      </c>
      <c r="P21" s="76">
        <v>5</v>
      </c>
      <c r="Q21" s="76">
        <v>6</v>
      </c>
      <c r="R21" s="76">
        <v>5</v>
      </c>
      <c r="S21" s="76">
        <v>0</v>
      </c>
      <c r="T21" s="76">
        <v>0</v>
      </c>
      <c r="U21" s="78">
        <v>0</v>
      </c>
      <c r="V21" s="80"/>
      <c r="W21" s="76">
        <f t="shared" ref="W21" si="8">+SUM(B21:U21)</f>
        <v>82</v>
      </c>
    </row>
    <row r="22" spans="1:23" x14ac:dyDescent="0.3">
      <c r="A22" s="102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9"/>
      <c r="V22" s="80"/>
      <c r="W22" s="77"/>
    </row>
    <row r="23" spans="1:23" x14ac:dyDescent="0.3">
      <c r="A23" s="101" t="s">
        <v>144</v>
      </c>
      <c r="B23" s="76">
        <v>3</v>
      </c>
      <c r="C23" s="76">
        <v>4</v>
      </c>
      <c r="D23" s="76">
        <v>6</v>
      </c>
      <c r="E23" s="76">
        <v>6</v>
      </c>
      <c r="F23" s="76">
        <v>6</v>
      </c>
      <c r="G23" s="76">
        <v>5</v>
      </c>
      <c r="H23" s="76">
        <v>5</v>
      </c>
      <c r="I23" s="76">
        <v>5</v>
      </c>
      <c r="J23" s="76">
        <v>10</v>
      </c>
      <c r="K23" s="76">
        <v>5</v>
      </c>
      <c r="L23" s="76">
        <v>10</v>
      </c>
      <c r="M23" s="76">
        <v>5</v>
      </c>
      <c r="N23" s="76">
        <v>10</v>
      </c>
      <c r="O23" s="76">
        <v>0</v>
      </c>
      <c r="P23" s="76">
        <v>5</v>
      </c>
      <c r="Q23" s="76">
        <v>10</v>
      </c>
      <c r="R23" s="76">
        <v>5</v>
      </c>
      <c r="S23" s="76">
        <v>0</v>
      </c>
      <c r="T23" s="76">
        <v>0</v>
      </c>
      <c r="U23" s="78">
        <v>-20</v>
      </c>
      <c r="V23" s="80"/>
      <c r="W23" s="76">
        <f t="shared" ref="W23" si="9">+SUM(B23:U23)</f>
        <v>80</v>
      </c>
    </row>
    <row r="24" spans="1:23" x14ac:dyDescent="0.3">
      <c r="A24" s="101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9"/>
      <c r="V24" s="80"/>
      <c r="W24" s="77"/>
    </row>
    <row r="25" spans="1:23" x14ac:dyDescent="0.3">
      <c r="A25" s="102" t="s">
        <v>145</v>
      </c>
      <c r="B25" s="76">
        <v>3</v>
      </c>
      <c r="C25" s="76">
        <v>4</v>
      </c>
      <c r="D25" s="76">
        <v>0</v>
      </c>
      <c r="E25" s="76">
        <v>0</v>
      </c>
      <c r="F25" s="76">
        <v>0</v>
      </c>
      <c r="G25" s="76">
        <v>5</v>
      </c>
      <c r="H25" s="76">
        <v>0</v>
      </c>
      <c r="I25" s="76">
        <v>0</v>
      </c>
      <c r="J25" s="76">
        <v>5</v>
      </c>
      <c r="K25" s="76">
        <v>5</v>
      </c>
      <c r="L25" s="76">
        <v>10</v>
      </c>
      <c r="M25" s="76">
        <v>5</v>
      </c>
      <c r="N25" s="76">
        <v>10</v>
      </c>
      <c r="O25" s="76">
        <v>3</v>
      </c>
      <c r="P25" s="76">
        <v>5</v>
      </c>
      <c r="Q25" s="76">
        <v>4</v>
      </c>
      <c r="R25" s="76">
        <v>0</v>
      </c>
      <c r="S25" s="76">
        <v>0</v>
      </c>
      <c r="T25" s="76">
        <v>-3</v>
      </c>
      <c r="U25" s="78">
        <v>0</v>
      </c>
      <c r="V25" s="80"/>
      <c r="W25" s="76">
        <f t="shared" ref="W25" si="10">+SUM(B25:U25)</f>
        <v>56</v>
      </c>
    </row>
    <row r="26" spans="1:23" x14ac:dyDescent="0.3">
      <c r="A26" s="102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9"/>
      <c r="V26" s="80"/>
      <c r="W26" s="77"/>
    </row>
    <row r="27" spans="1:23" x14ac:dyDescent="0.3">
      <c r="A27" s="101" t="s">
        <v>146</v>
      </c>
      <c r="B27" s="76">
        <v>3</v>
      </c>
      <c r="C27" s="76">
        <v>4</v>
      </c>
      <c r="D27" s="76">
        <v>6</v>
      </c>
      <c r="E27" s="76">
        <v>6</v>
      </c>
      <c r="F27" s="76">
        <v>0</v>
      </c>
      <c r="G27" s="76">
        <v>5</v>
      </c>
      <c r="H27" s="76">
        <v>5</v>
      </c>
      <c r="I27" s="76">
        <v>5</v>
      </c>
      <c r="J27" s="76">
        <v>10</v>
      </c>
      <c r="K27" s="76">
        <v>5</v>
      </c>
      <c r="L27" s="76">
        <v>10</v>
      </c>
      <c r="M27" s="76">
        <v>5</v>
      </c>
      <c r="N27" s="76">
        <v>10</v>
      </c>
      <c r="O27" s="76">
        <v>5</v>
      </c>
      <c r="P27" s="76">
        <v>5</v>
      </c>
      <c r="Q27" s="76">
        <v>10</v>
      </c>
      <c r="R27" s="76">
        <v>5</v>
      </c>
      <c r="S27" s="76">
        <v>0</v>
      </c>
      <c r="T27" s="76">
        <v>0</v>
      </c>
      <c r="U27" s="78">
        <v>0</v>
      </c>
      <c r="V27" s="80"/>
      <c r="W27" s="76">
        <f t="shared" ref="W27" si="11">+SUM(B27:U27)</f>
        <v>99</v>
      </c>
    </row>
    <row r="28" spans="1:23" x14ac:dyDescent="0.3">
      <c r="A28" s="101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9"/>
      <c r="V28" s="80"/>
      <c r="W28" s="77"/>
    </row>
    <row r="29" spans="1:23" x14ac:dyDescent="0.3">
      <c r="A29" s="102" t="s">
        <v>147</v>
      </c>
      <c r="B29" s="76">
        <v>0</v>
      </c>
      <c r="C29" s="76">
        <v>4</v>
      </c>
      <c r="D29" s="76">
        <v>6</v>
      </c>
      <c r="E29" s="76">
        <v>6</v>
      </c>
      <c r="F29" s="76">
        <v>6</v>
      </c>
      <c r="G29" s="76">
        <v>0</v>
      </c>
      <c r="H29" s="76">
        <v>5</v>
      </c>
      <c r="I29" s="76">
        <v>0</v>
      </c>
      <c r="J29" s="76">
        <v>0</v>
      </c>
      <c r="K29" s="76">
        <v>5</v>
      </c>
      <c r="L29" s="76">
        <v>10</v>
      </c>
      <c r="M29" s="76">
        <v>5</v>
      </c>
      <c r="N29" s="76">
        <v>4</v>
      </c>
      <c r="O29" s="76">
        <v>5</v>
      </c>
      <c r="P29" s="76">
        <v>5</v>
      </c>
      <c r="Q29" s="76">
        <v>4</v>
      </c>
      <c r="R29" s="76">
        <v>3</v>
      </c>
      <c r="S29" s="76">
        <v>0</v>
      </c>
      <c r="T29" s="76">
        <v>0</v>
      </c>
      <c r="U29" s="78">
        <v>0</v>
      </c>
      <c r="V29" s="80"/>
      <c r="W29" s="76">
        <f t="shared" ref="W29" si="12">+SUM(B29:U29)</f>
        <v>68</v>
      </c>
    </row>
    <row r="30" spans="1:23" x14ac:dyDescent="0.3">
      <c r="A30" s="102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9"/>
      <c r="V30" s="80"/>
      <c r="W30" s="77"/>
    </row>
    <row r="31" spans="1:23" x14ac:dyDescent="0.3">
      <c r="A31" s="101" t="s">
        <v>148</v>
      </c>
      <c r="B31" s="76">
        <v>3</v>
      </c>
      <c r="C31" s="76">
        <v>4</v>
      </c>
      <c r="D31" s="76">
        <v>0</v>
      </c>
      <c r="E31" s="76">
        <v>0</v>
      </c>
      <c r="F31" s="76">
        <v>0</v>
      </c>
      <c r="G31" s="76">
        <v>5</v>
      </c>
      <c r="H31" s="76">
        <v>5</v>
      </c>
      <c r="I31" s="76">
        <v>0</v>
      </c>
      <c r="J31" s="76">
        <v>10</v>
      </c>
      <c r="K31" s="76">
        <v>5</v>
      </c>
      <c r="L31" s="76">
        <v>10</v>
      </c>
      <c r="M31" s="76">
        <v>5</v>
      </c>
      <c r="N31" s="76">
        <v>10</v>
      </c>
      <c r="O31" s="76">
        <v>0</v>
      </c>
      <c r="P31" s="76">
        <v>5</v>
      </c>
      <c r="Q31" s="76">
        <v>10</v>
      </c>
      <c r="R31" s="76">
        <v>5</v>
      </c>
      <c r="S31" s="76">
        <v>0</v>
      </c>
      <c r="T31" s="76">
        <v>0</v>
      </c>
      <c r="U31" s="78">
        <v>0</v>
      </c>
      <c r="V31" s="80"/>
      <c r="W31" s="76">
        <f t="shared" ref="W31" si="13">+SUM(B31:U31)</f>
        <v>77</v>
      </c>
    </row>
    <row r="32" spans="1:23" x14ac:dyDescent="0.3">
      <c r="A32" s="101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9"/>
      <c r="V32" s="80"/>
      <c r="W32" s="77"/>
    </row>
    <row r="33" spans="1:23" x14ac:dyDescent="0.3">
      <c r="A33" s="103" t="s">
        <v>149</v>
      </c>
      <c r="B33" s="76">
        <v>3</v>
      </c>
      <c r="C33" s="76">
        <v>4</v>
      </c>
      <c r="D33" s="76">
        <v>0</v>
      </c>
      <c r="E33" s="76">
        <v>0</v>
      </c>
      <c r="F33" s="76">
        <v>0</v>
      </c>
      <c r="G33" s="76">
        <v>5</v>
      </c>
      <c r="H33" s="76">
        <v>5</v>
      </c>
      <c r="I33" s="76">
        <v>5</v>
      </c>
      <c r="J33" s="76">
        <v>10</v>
      </c>
      <c r="K33" s="76">
        <v>5</v>
      </c>
      <c r="L33" s="76">
        <v>10</v>
      </c>
      <c r="M33" s="76">
        <v>5</v>
      </c>
      <c r="N33" s="76">
        <v>10</v>
      </c>
      <c r="O33" s="76">
        <v>5</v>
      </c>
      <c r="P33" s="76">
        <v>5</v>
      </c>
      <c r="Q33" s="76">
        <v>10</v>
      </c>
      <c r="R33" s="76">
        <v>5</v>
      </c>
      <c r="S33" s="76">
        <v>0</v>
      </c>
      <c r="T33" s="76">
        <v>0</v>
      </c>
      <c r="U33" s="78">
        <v>0</v>
      </c>
      <c r="V33" s="80"/>
      <c r="W33" s="76">
        <f t="shared" ref="W33" si="14">+SUM(B33:U33)</f>
        <v>87</v>
      </c>
    </row>
    <row r="34" spans="1:23" x14ac:dyDescent="0.3">
      <c r="A34" s="104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9"/>
      <c r="V34" s="77"/>
      <c r="W34" s="77"/>
    </row>
  </sheetData>
  <mergeCells count="369">
    <mergeCell ref="W31:W32"/>
    <mergeCell ref="W33:W34"/>
    <mergeCell ref="W15:W16"/>
    <mergeCell ref="W17:W18"/>
    <mergeCell ref="W19:W20"/>
    <mergeCell ref="W21:W22"/>
    <mergeCell ref="W23:W24"/>
    <mergeCell ref="W25:W26"/>
    <mergeCell ref="A33:A34"/>
    <mergeCell ref="V27:V28"/>
    <mergeCell ref="V29:V30"/>
    <mergeCell ref="V31:V32"/>
    <mergeCell ref="V33:V34"/>
    <mergeCell ref="W3:W4"/>
    <mergeCell ref="W5:W6"/>
    <mergeCell ref="W7:W8"/>
    <mergeCell ref="W9:W10"/>
    <mergeCell ref="W11:W12"/>
    <mergeCell ref="W13:W14"/>
    <mergeCell ref="V15:V16"/>
    <mergeCell ref="V17:V18"/>
    <mergeCell ref="V19:V20"/>
    <mergeCell ref="V21:V22"/>
    <mergeCell ref="V23:V24"/>
    <mergeCell ref="V25:V26"/>
    <mergeCell ref="V3:V4"/>
    <mergeCell ref="V5:V6"/>
    <mergeCell ref="V7:V8"/>
    <mergeCell ref="V9:V10"/>
    <mergeCell ref="V11:V12"/>
    <mergeCell ref="V13:V14"/>
    <mergeCell ref="W27:W28"/>
    <mergeCell ref="W29:W30"/>
    <mergeCell ref="P33:P34"/>
    <mergeCell ref="Q33:Q34"/>
    <mergeCell ref="R33:R34"/>
    <mergeCell ref="S33:S34"/>
    <mergeCell ref="T33:T34"/>
    <mergeCell ref="U33:U34"/>
    <mergeCell ref="Q31:Q32"/>
    <mergeCell ref="R31:R32"/>
    <mergeCell ref="S31:S32"/>
    <mergeCell ref="T31:T32"/>
    <mergeCell ref="U31:U32"/>
    <mergeCell ref="P31:P32"/>
    <mergeCell ref="K33:K34"/>
    <mergeCell ref="L33:L34"/>
    <mergeCell ref="M33:M34"/>
    <mergeCell ref="N33:N34"/>
    <mergeCell ref="O33:O34"/>
    <mergeCell ref="K31:K32"/>
    <mergeCell ref="L31:L32"/>
    <mergeCell ref="M31:M32"/>
    <mergeCell ref="N31:N32"/>
    <mergeCell ref="O31:O32"/>
    <mergeCell ref="P29:P30"/>
    <mergeCell ref="Q29:Q30"/>
    <mergeCell ref="R29:R30"/>
    <mergeCell ref="S29:S30"/>
    <mergeCell ref="T29:T30"/>
    <mergeCell ref="U29:U30"/>
    <mergeCell ref="Q27:Q28"/>
    <mergeCell ref="R27:R28"/>
    <mergeCell ref="S27:S28"/>
    <mergeCell ref="T27:T28"/>
    <mergeCell ref="U27:U28"/>
    <mergeCell ref="P27:P28"/>
    <mergeCell ref="K29:K30"/>
    <mergeCell ref="L29:L30"/>
    <mergeCell ref="M29:M30"/>
    <mergeCell ref="N29:N30"/>
    <mergeCell ref="O29:O30"/>
    <mergeCell ref="K27:K28"/>
    <mergeCell ref="L27:L28"/>
    <mergeCell ref="M27:M28"/>
    <mergeCell ref="N27:N28"/>
    <mergeCell ref="O27:O28"/>
    <mergeCell ref="P25:P26"/>
    <mergeCell ref="Q25:Q26"/>
    <mergeCell ref="R25:R26"/>
    <mergeCell ref="S25:S26"/>
    <mergeCell ref="T25:T26"/>
    <mergeCell ref="U25:U26"/>
    <mergeCell ref="Q23:Q24"/>
    <mergeCell ref="R23:R24"/>
    <mergeCell ref="S23:S24"/>
    <mergeCell ref="T23:T24"/>
    <mergeCell ref="U23:U24"/>
    <mergeCell ref="P23:P24"/>
    <mergeCell ref="K25:K26"/>
    <mergeCell ref="L25:L26"/>
    <mergeCell ref="M25:M26"/>
    <mergeCell ref="N25:N26"/>
    <mergeCell ref="O25:O26"/>
    <mergeCell ref="K23:K24"/>
    <mergeCell ref="L23:L24"/>
    <mergeCell ref="M23:M24"/>
    <mergeCell ref="N23:N24"/>
    <mergeCell ref="O23:O24"/>
    <mergeCell ref="P21:P22"/>
    <mergeCell ref="Q21:Q22"/>
    <mergeCell ref="R21:R22"/>
    <mergeCell ref="S21:S22"/>
    <mergeCell ref="T21:T22"/>
    <mergeCell ref="U21:U22"/>
    <mergeCell ref="Q19:Q20"/>
    <mergeCell ref="R19:R20"/>
    <mergeCell ref="S19:S20"/>
    <mergeCell ref="T19:T20"/>
    <mergeCell ref="U19:U20"/>
    <mergeCell ref="P19:P20"/>
    <mergeCell ref="K21:K22"/>
    <mergeCell ref="L21:L22"/>
    <mergeCell ref="M21:M22"/>
    <mergeCell ref="N21:N22"/>
    <mergeCell ref="O21:O22"/>
    <mergeCell ref="K19:K20"/>
    <mergeCell ref="L19:L20"/>
    <mergeCell ref="M19:M20"/>
    <mergeCell ref="N19:N20"/>
    <mergeCell ref="O19:O20"/>
    <mergeCell ref="P17:P18"/>
    <mergeCell ref="Q17:Q18"/>
    <mergeCell ref="R17:R18"/>
    <mergeCell ref="S17:S18"/>
    <mergeCell ref="T17:T18"/>
    <mergeCell ref="U17:U18"/>
    <mergeCell ref="Q15:Q16"/>
    <mergeCell ref="R15:R16"/>
    <mergeCell ref="S15:S16"/>
    <mergeCell ref="T15:T16"/>
    <mergeCell ref="U15:U16"/>
    <mergeCell ref="P15:P16"/>
    <mergeCell ref="K17:K18"/>
    <mergeCell ref="L17:L18"/>
    <mergeCell ref="M17:M18"/>
    <mergeCell ref="N17:N18"/>
    <mergeCell ref="O17:O18"/>
    <mergeCell ref="K15:K16"/>
    <mergeCell ref="L15:L16"/>
    <mergeCell ref="M15:M16"/>
    <mergeCell ref="N15:N16"/>
    <mergeCell ref="O15:O16"/>
    <mergeCell ref="P13:P14"/>
    <mergeCell ref="Q13:Q14"/>
    <mergeCell ref="R13:R14"/>
    <mergeCell ref="S13:S14"/>
    <mergeCell ref="T13:T14"/>
    <mergeCell ref="U13:U14"/>
    <mergeCell ref="Q11:Q12"/>
    <mergeCell ref="R11:R12"/>
    <mergeCell ref="S11:S12"/>
    <mergeCell ref="T11:T12"/>
    <mergeCell ref="U11:U12"/>
    <mergeCell ref="P11:P12"/>
    <mergeCell ref="K13:K14"/>
    <mergeCell ref="L13:L14"/>
    <mergeCell ref="M13:M14"/>
    <mergeCell ref="N13:N14"/>
    <mergeCell ref="O13:O14"/>
    <mergeCell ref="K11:K12"/>
    <mergeCell ref="L11:L12"/>
    <mergeCell ref="M11:M12"/>
    <mergeCell ref="N11:N12"/>
    <mergeCell ref="O11:O12"/>
    <mergeCell ref="P9:P10"/>
    <mergeCell ref="Q9:Q10"/>
    <mergeCell ref="R9:R10"/>
    <mergeCell ref="S9:S10"/>
    <mergeCell ref="T9:T10"/>
    <mergeCell ref="U9:U10"/>
    <mergeCell ref="Q7:Q8"/>
    <mergeCell ref="R7:R8"/>
    <mergeCell ref="S7:S8"/>
    <mergeCell ref="T7:T8"/>
    <mergeCell ref="U7:U8"/>
    <mergeCell ref="P7:P8"/>
    <mergeCell ref="K9:K10"/>
    <mergeCell ref="L9:L10"/>
    <mergeCell ref="M9:M10"/>
    <mergeCell ref="N9:N10"/>
    <mergeCell ref="O9:O10"/>
    <mergeCell ref="K7:K8"/>
    <mergeCell ref="L7:L8"/>
    <mergeCell ref="M7:M8"/>
    <mergeCell ref="N7:N8"/>
    <mergeCell ref="O7:O8"/>
    <mergeCell ref="P5:P6"/>
    <mergeCell ref="Q5:Q6"/>
    <mergeCell ref="R5:R6"/>
    <mergeCell ref="S5:S6"/>
    <mergeCell ref="T5:T6"/>
    <mergeCell ref="U5:U6"/>
    <mergeCell ref="Q3:Q4"/>
    <mergeCell ref="R3:R4"/>
    <mergeCell ref="S3:S4"/>
    <mergeCell ref="T3:T4"/>
    <mergeCell ref="U3:U4"/>
    <mergeCell ref="P3:P4"/>
    <mergeCell ref="K5:K6"/>
    <mergeCell ref="L5:L6"/>
    <mergeCell ref="M5:M6"/>
    <mergeCell ref="N5:N6"/>
    <mergeCell ref="O5:O6"/>
    <mergeCell ref="K3:K4"/>
    <mergeCell ref="L3:L4"/>
    <mergeCell ref="M3:M4"/>
    <mergeCell ref="N3:N4"/>
    <mergeCell ref="O3:O4"/>
    <mergeCell ref="J11:J12"/>
    <mergeCell ref="H13:H14"/>
    <mergeCell ref="H31:H32"/>
    <mergeCell ref="I31:I32"/>
    <mergeCell ref="J31:J32"/>
    <mergeCell ref="H33:H34"/>
    <mergeCell ref="I33:I34"/>
    <mergeCell ref="J33:J34"/>
    <mergeCell ref="H27:H28"/>
    <mergeCell ref="I27:I28"/>
    <mergeCell ref="J27:J28"/>
    <mergeCell ref="H29:H30"/>
    <mergeCell ref="I29:I30"/>
    <mergeCell ref="J29:J30"/>
    <mergeCell ref="H19:H20"/>
    <mergeCell ref="I19:I20"/>
    <mergeCell ref="J19:J20"/>
    <mergeCell ref="H21:H22"/>
    <mergeCell ref="I21:I22"/>
    <mergeCell ref="J21:J22"/>
    <mergeCell ref="H15:H16"/>
    <mergeCell ref="I15:I16"/>
    <mergeCell ref="J15:J16"/>
    <mergeCell ref="H17:H18"/>
    <mergeCell ref="I17:I18"/>
    <mergeCell ref="J17:J18"/>
    <mergeCell ref="I13:I14"/>
    <mergeCell ref="J13:J14"/>
    <mergeCell ref="G27:G28"/>
    <mergeCell ref="G29:G30"/>
    <mergeCell ref="G31:G32"/>
    <mergeCell ref="G33:G34"/>
    <mergeCell ref="H3:H4"/>
    <mergeCell ref="I3:I4"/>
    <mergeCell ref="H5:H6"/>
    <mergeCell ref="I5:I6"/>
    <mergeCell ref="H7:H8"/>
    <mergeCell ref="I7:I8"/>
    <mergeCell ref="G15:G16"/>
    <mergeCell ref="G17:G18"/>
    <mergeCell ref="G19:G20"/>
    <mergeCell ref="G21:G22"/>
    <mergeCell ref="G23:G24"/>
    <mergeCell ref="G25:G26"/>
    <mergeCell ref="H23:H24"/>
    <mergeCell ref="I23:I24"/>
    <mergeCell ref="J23:J24"/>
    <mergeCell ref="H25:H26"/>
    <mergeCell ref="I25:I26"/>
    <mergeCell ref="J25:J26"/>
    <mergeCell ref="F31:F32"/>
    <mergeCell ref="F33:F34"/>
    <mergeCell ref="G3:G4"/>
    <mergeCell ref="G5:G6"/>
    <mergeCell ref="G7:G8"/>
    <mergeCell ref="G9:G10"/>
    <mergeCell ref="G11:G12"/>
    <mergeCell ref="G13:G14"/>
    <mergeCell ref="F15:F16"/>
    <mergeCell ref="F17:F18"/>
    <mergeCell ref="F19:F20"/>
    <mergeCell ref="F21:F22"/>
    <mergeCell ref="F23:F24"/>
    <mergeCell ref="F25:F26"/>
    <mergeCell ref="F13:F14"/>
    <mergeCell ref="E15:E16"/>
    <mergeCell ref="E17:E18"/>
    <mergeCell ref="E19:E20"/>
    <mergeCell ref="E21:E22"/>
    <mergeCell ref="E23:E24"/>
    <mergeCell ref="E25:E26"/>
    <mergeCell ref="F27:F28"/>
    <mergeCell ref="F29:F30"/>
    <mergeCell ref="D31:D32"/>
    <mergeCell ref="D33:D34"/>
    <mergeCell ref="E3:E4"/>
    <mergeCell ref="E5:E6"/>
    <mergeCell ref="E7:E8"/>
    <mergeCell ref="E9:E10"/>
    <mergeCell ref="E11:E12"/>
    <mergeCell ref="E13:E14"/>
    <mergeCell ref="D15:D16"/>
    <mergeCell ref="D17:D18"/>
    <mergeCell ref="D19:D20"/>
    <mergeCell ref="D21:D22"/>
    <mergeCell ref="D23:D24"/>
    <mergeCell ref="D25:D26"/>
    <mergeCell ref="E27:E28"/>
    <mergeCell ref="E29:E30"/>
    <mergeCell ref="E31:E32"/>
    <mergeCell ref="E33:E34"/>
    <mergeCell ref="D13:D14"/>
    <mergeCell ref="C13:C14"/>
    <mergeCell ref="C15:C16"/>
    <mergeCell ref="C17:C18"/>
    <mergeCell ref="C19:C20"/>
    <mergeCell ref="C21:C22"/>
    <mergeCell ref="C23:C24"/>
    <mergeCell ref="D27:D28"/>
    <mergeCell ref="D29:D30"/>
    <mergeCell ref="B33:B34"/>
    <mergeCell ref="C33:C34"/>
    <mergeCell ref="C3:C4"/>
    <mergeCell ref="C5:C6"/>
    <mergeCell ref="C7:C8"/>
    <mergeCell ref="C9:C10"/>
    <mergeCell ref="C11:C12"/>
    <mergeCell ref="B15:B16"/>
    <mergeCell ref="B17:B18"/>
    <mergeCell ref="B19:B20"/>
    <mergeCell ref="B21:B22"/>
    <mergeCell ref="B23:B24"/>
    <mergeCell ref="B25:B26"/>
    <mergeCell ref="C25:C26"/>
    <mergeCell ref="C27:C28"/>
    <mergeCell ref="C29:C30"/>
    <mergeCell ref="C31:C32"/>
    <mergeCell ref="A25:A26"/>
    <mergeCell ref="A27:A28"/>
    <mergeCell ref="A29:A30"/>
    <mergeCell ref="A31:A32"/>
    <mergeCell ref="B3:B4"/>
    <mergeCell ref="B5:B6"/>
    <mergeCell ref="B7:B8"/>
    <mergeCell ref="B9:B10"/>
    <mergeCell ref="B11:B12"/>
    <mergeCell ref="B13:B14"/>
    <mergeCell ref="A13:A14"/>
    <mergeCell ref="A15:A16"/>
    <mergeCell ref="A17:A18"/>
    <mergeCell ref="A19:A20"/>
    <mergeCell ref="A21:A22"/>
    <mergeCell ref="A23:A24"/>
    <mergeCell ref="B27:B28"/>
    <mergeCell ref="B29:B30"/>
    <mergeCell ref="B31:B32"/>
    <mergeCell ref="B1:U1"/>
    <mergeCell ref="A3:A4"/>
    <mergeCell ref="A5:A6"/>
    <mergeCell ref="A7:A8"/>
    <mergeCell ref="A9:A10"/>
    <mergeCell ref="A11:A12"/>
    <mergeCell ref="J5:J6"/>
    <mergeCell ref="J7:J8"/>
    <mergeCell ref="H9:H10"/>
    <mergeCell ref="I9:I10"/>
    <mergeCell ref="D3:D4"/>
    <mergeCell ref="D5:D6"/>
    <mergeCell ref="D7:D8"/>
    <mergeCell ref="D9:D10"/>
    <mergeCell ref="D11:D12"/>
    <mergeCell ref="F3:F4"/>
    <mergeCell ref="F5:F6"/>
    <mergeCell ref="F7:F8"/>
    <mergeCell ref="F9:F10"/>
    <mergeCell ref="F11:F12"/>
    <mergeCell ref="J3:J4"/>
    <mergeCell ref="J9:J10"/>
    <mergeCell ref="H11:H12"/>
    <mergeCell ref="I11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9000-1632-48F4-B5ED-88AD888E0277}">
  <dimension ref="A1:X34"/>
  <sheetViews>
    <sheetView showGridLines="0" topLeftCell="B1" zoomScale="66" zoomScaleNormal="25" workbookViewId="0">
      <selection activeCell="X29" sqref="X29:X30"/>
    </sheetView>
  </sheetViews>
  <sheetFormatPr baseColWidth="10" defaultRowHeight="14.4" x14ac:dyDescent="0.3"/>
  <cols>
    <col min="1" max="1" width="63.5546875" customWidth="1"/>
    <col min="5" max="5" width="16.77734375" customWidth="1"/>
    <col min="9" max="9" width="12.6640625" customWidth="1"/>
    <col min="13" max="13" width="15.109375" customWidth="1"/>
    <col min="14" max="14" width="13.88671875" customWidth="1"/>
    <col min="20" max="20" width="13.21875" customWidth="1"/>
    <col min="24" max="24" width="31.77734375" customWidth="1"/>
  </cols>
  <sheetData>
    <row r="1" spans="1:23" x14ac:dyDescent="0.3">
      <c r="A1" s="52"/>
      <c r="B1" s="73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52"/>
      <c r="W1" s="62"/>
    </row>
    <row r="2" spans="1:23" ht="63" thickBot="1" x14ac:dyDescent="0.35">
      <c r="A2" s="61" t="s">
        <v>150</v>
      </c>
      <c r="B2" s="58" t="s">
        <v>3</v>
      </c>
      <c r="C2" s="58" t="s">
        <v>7</v>
      </c>
      <c r="D2" s="58" t="s">
        <v>11</v>
      </c>
      <c r="E2" s="58" t="s">
        <v>20</v>
      </c>
      <c r="F2" s="58" t="s">
        <v>29</v>
      </c>
      <c r="G2" s="58" t="s">
        <v>34</v>
      </c>
      <c r="H2" s="58" t="s">
        <v>39</v>
      </c>
      <c r="I2" s="58" t="s">
        <v>43</v>
      </c>
      <c r="J2" s="58" t="s">
        <v>52</v>
      </c>
      <c r="K2" s="58" t="s">
        <v>57</v>
      </c>
      <c r="L2" s="58" t="s">
        <v>60</v>
      </c>
      <c r="M2" s="58" t="s">
        <v>68</v>
      </c>
      <c r="N2" s="58" t="s">
        <v>71</v>
      </c>
      <c r="O2" s="58" t="s">
        <v>72</v>
      </c>
      <c r="P2" s="58" t="s">
        <v>77</v>
      </c>
      <c r="Q2" s="58" t="s">
        <v>80</v>
      </c>
      <c r="R2" s="58" t="s">
        <v>151</v>
      </c>
      <c r="S2" s="58" t="s">
        <v>152</v>
      </c>
      <c r="T2" s="58" t="s">
        <v>153</v>
      </c>
      <c r="U2" s="58" t="s">
        <v>154</v>
      </c>
      <c r="V2" s="59"/>
      <c r="W2" s="58" t="s">
        <v>155</v>
      </c>
    </row>
    <row r="3" spans="1:23" x14ac:dyDescent="0.3">
      <c r="A3" s="74" t="s">
        <v>156</v>
      </c>
      <c r="B3" s="76">
        <v>3</v>
      </c>
      <c r="C3" s="76">
        <v>4</v>
      </c>
      <c r="D3" s="76">
        <v>6</v>
      </c>
      <c r="E3" s="76">
        <v>6</v>
      </c>
      <c r="F3" s="76">
        <v>0</v>
      </c>
      <c r="G3" s="76">
        <v>5</v>
      </c>
      <c r="H3" s="76">
        <v>5</v>
      </c>
      <c r="I3" s="76">
        <v>0</v>
      </c>
      <c r="J3" s="76">
        <v>5</v>
      </c>
      <c r="K3" s="76">
        <v>5</v>
      </c>
      <c r="L3" s="76">
        <v>4</v>
      </c>
      <c r="M3" s="76">
        <v>5</v>
      </c>
      <c r="N3" s="76">
        <v>6</v>
      </c>
      <c r="O3" s="76">
        <v>5</v>
      </c>
      <c r="P3" s="76">
        <v>5</v>
      </c>
      <c r="Q3" s="76">
        <v>10</v>
      </c>
      <c r="R3" s="76">
        <v>5</v>
      </c>
      <c r="S3" s="76">
        <v>0</v>
      </c>
      <c r="T3" s="76">
        <v>0</v>
      </c>
      <c r="U3" s="78">
        <v>0</v>
      </c>
      <c r="V3" s="80"/>
      <c r="W3" s="81">
        <f>+SUM(B3:U4)</f>
        <v>79</v>
      </c>
    </row>
    <row r="4" spans="1:23" ht="15" thickBot="1" x14ac:dyDescent="0.35">
      <c r="A4" s="75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9"/>
      <c r="V4" s="80"/>
      <c r="W4" s="82"/>
    </row>
    <row r="5" spans="1:23" x14ac:dyDescent="0.3">
      <c r="A5" s="83" t="s">
        <v>118</v>
      </c>
      <c r="B5" s="76">
        <v>3</v>
      </c>
      <c r="C5" s="76">
        <v>0</v>
      </c>
      <c r="D5" s="76">
        <v>0</v>
      </c>
      <c r="E5" s="76">
        <v>0</v>
      </c>
      <c r="F5" s="76">
        <v>0</v>
      </c>
      <c r="G5" s="76">
        <v>0</v>
      </c>
      <c r="H5" s="76">
        <v>5</v>
      </c>
      <c r="I5" s="76">
        <v>0</v>
      </c>
      <c r="J5" s="76">
        <v>0</v>
      </c>
      <c r="K5" s="76">
        <v>5</v>
      </c>
      <c r="L5" s="76">
        <v>2</v>
      </c>
      <c r="M5" s="76">
        <v>5</v>
      </c>
      <c r="N5" s="76">
        <v>2</v>
      </c>
      <c r="O5" s="76">
        <v>3</v>
      </c>
      <c r="P5" s="76">
        <v>5</v>
      </c>
      <c r="Q5" s="76">
        <v>10</v>
      </c>
      <c r="R5" s="76">
        <v>5</v>
      </c>
      <c r="S5" s="76">
        <v>0</v>
      </c>
      <c r="T5" s="76">
        <v>0</v>
      </c>
      <c r="U5" s="78">
        <v>0</v>
      </c>
      <c r="V5" s="80"/>
      <c r="W5" s="81">
        <f>+SUM(B5:U6)</f>
        <v>45</v>
      </c>
    </row>
    <row r="6" spans="1:23" ht="15" thickBot="1" x14ac:dyDescent="0.35">
      <c r="A6" s="84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9"/>
      <c r="V6" s="80"/>
      <c r="W6" s="82"/>
    </row>
    <row r="7" spans="1:23" x14ac:dyDescent="0.3">
      <c r="A7" s="85" t="s">
        <v>119</v>
      </c>
      <c r="B7" s="76">
        <v>3</v>
      </c>
      <c r="C7" s="76">
        <v>4</v>
      </c>
      <c r="D7" s="76">
        <v>6</v>
      </c>
      <c r="E7" s="76">
        <v>6</v>
      </c>
      <c r="F7" s="76">
        <v>6</v>
      </c>
      <c r="G7" s="76">
        <v>5</v>
      </c>
      <c r="H7" s="76">
        <v>5</v>
      </c>
      <c r="I7" s="76">
        <v>5</v>
      </c>
      <c r="J7" s="76">
        <v>10</v>
      </c>
      <c r="K7" s="76">
        <v>5</v>
      </c>
      <c r="L7" s="76">
        <v>10</v>
      </c>
      <c r="M7" s="76">
        <v>5</v>
      </c>
      <c r="N7" s="76">
        <v>10</v>
      </c>
      <c r="O7" s="76">
        <v>5</v>
      </c>
      <c r="P7" s="76">
        <v>5</v>
      </c>
      <c r="Q7" s="76">
        <v>10</v>
      </c>
      <c r="R7" s="76">
        <v>0</v>
      </c>
      <c r="S7" s="76">
        <v>0</v>
      </c>
      <c r="T7" s="76">
        <v>0</v>
      </c>
      <c r="U7" s="78">
        <v>0</v>
      </c>
      <c r="V7" s="80"/>
      <c r="W7" s="81">
        <f>+SUM(B7:U8)</f>
        <v>100</v>
      </c>
    </row>
    <row r="8" spans="1:23" ht="15" thickBot="1" x14ac:dyDescent="0.35">
      <c r="A8" s="86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9"/>
      <c r="V8" s="80"/>
      <c r="W8" s="82"/>
    </row>
    <row r="9" spans="1:23" x14ac:dyDescent="0.3">
      <c r="A9" s="87" t="s">
        <v>120</v>
      </c>
      <c r="B9" s="76">
        <v>3</v>
      </c>
      <c r="C9" s="76">
        <v>2</v>
      </c>
      <c r="D9" s="76">
        <v>6</v>
      </c>
      <c r="E9" s="76">
        <v>6</v>
      </c>
      <c r="F9" s="76">
        <v>0</v>
      </c>
      <c r="G9" s="76">
        <v>5</v>
      </c>
      <c r="H9" s="76">
        <v>5</v>
      </c>
      <c r="I9" s="76">
        <v>5</v>
      </c>
      <c r="J9" s="76">
        <v>10</v>
      </c>
      <c r="K9" s="76">
        <v>5</v>
      </c>
      <c r="L9" s="76">
        <v>8</v>
      </c>
      <c r="M9" s="76">
        <v>5</v>
      </c>
      <c r="N9" s="76">
        <v>6</v>
      </c>
      <c r="O9" s="76">
        <v>5</v>
      </c>
      <c r="P9" s="76">
        <v>5</v>
      </c>
      <c r="Q9" s="76">
        <v>10</v>
      </c>
      <c r="R9" s="76">
        <v>5</v>
      </c>
      <c r="S9" s="76">
        <v>0</v>
      </c>
      <c r="T9" s="76">
        <v>0</v>
      </c>
      <c r="U9" s="78">
        <v>0</v>
      </c>
      <c r="V9" s="80"/>
      <c r="W9" s="81">
        <f>+SUM(B9:U10)</f>
        <v>91</v>
      </c>
    </row>
    <row r="10" spans="1:23" ht="15" thickBot="1" x14ac:dyDescent="0.35">
      <c r="A10" s="88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9"/>
      <c r="V10" s="80"/>
      <c r="W10" s="82"/>
    </row>
    <row r="11" spans="1:23" x14ac:dyDescent="0.3">
      <c r="A11" s="89" t="s">
        <v>121</v>
      </c>
      <c r="B11" s="76">
        <v>3</v>
      </c>
      <c r="C11" s="76">
        <v>2</v>
      </c>
      <c r="D11" s="76">
        <v>6</v>
      </c>
      <c r="E11" s="76">
        <v>0</v>
      </c>
      <c r="F11" s="76">
        <v>6</v>
      </c>
      <c r="G11" s="76">
        <v>5</v>
      </c>
      <c r="H11" s="76">
        <v>5</v>
      </c>
      <c r="I11" s="76">
        <v>5</v>
      </c>
      <c r="J11" s="76">
        <v>10</v>
      </c>
      <c r="K11" s="76">
        <v>5</v>
      </c>
      <c r="L11" s="76">
        <v>10</v>
      </c>
      <c r="M11" s="76">
        <v>5</v>
      </c>
      <c r="N11" s="76">
        <v>10</v>
      </c>
      <c r="O11" s="76">
        <v>5</v>
      </c>
      <c r="P11" s="76">
        <v>5</v>
      </c>
      <c r="Q11" s="76">
        <v>10</v>
      </c>
      <c r="R11" s="76">
        <v>5</v>
      </c>
      <c r="S11" s="76">
        <v>0</v>
      </c>
      <c r="T11" s="76">
        <v>0</v>
      </c>
      <c r="U11" s="78">
        <v>0</v>
      </c>
      <c r="V11" s="80"/>
      <c r="W11" s="81">
        <f>+SUM(B11:U12)</f>
        <v>97</v>
      </c>
    </row>
    <row r="12" spans="1:23" ht="15" thickBot="1" x14ac:dyDescent="0.35">
      <c r="A12" s="90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9"/>
      <c r="V12" s="80"/>
      <c r="W12" s="82"/>
    </row>
    <row r="13" spans="1:23" x14ac:dyDescent="0.3">
      <c r="A13" s="87" t="s">
        <v>122</v>
      </c>
      <c r="B13" s="76">
        <v>3</v>
      </c>
      <c r="C13" s="76">
        <v>4</v>
      </c>
      <c r="D13" s="76">
        <v>6</v>
      </c>
      <c r="E13" s="76">
        <v>6</v>
      </c>
      <c r="F13" s="76">
        <v>0</v>
      </c>
      <c r="G13" s="76">
        <v>5</v>
      </c>
      <c r="H13" s="76">
        <v>5</v>
      </c>
      <c r="I13" s="76">
        <v>5</v>
      </c>
      <c r="J13" s="76">
        <v>10</v>
      </c>
      <c r="K13" s="76">
        <v>5</v>
      </c>
      <c r="L13" s="76">
        <v>10</v>
      </c>
      <c r="M13" s="76">
        <v>5</v>
      </c>
      <c r="N13" s="76">
        <v>10</v>
      </c>
      <c r="O13" s="76">
        <v>5</v>
      </c>
      <c r="P13" s="76">
        <v>5</v>
      </c>
      <c r="Q13" s="76">
        <v>10</v>
      </c>
      <c r="R13" s="76">
        <v>5</v>
      </c>
      <c r="S13" s="76">
        <v>0</v>
      </c>
      <c r="T13" s="76">
        <v>0</v>
      </c>
      <c r="U13" s="78">
        <v>0</v>
      </c>
      <c r="V13" s="80"/>
      <c r="W13" s="81">
        <f>+SUM(B13:U14)</f>
        <v>99</v>
      </c>
    </row>
    <row r="14" spans="1:23" ht="15" thickBot="1" x14ac:dyDescent="0.35">
      <c r="A14" s="88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9"/>
      <c r="V14" s="80"/>
      <c r="W14" s="82"/>
    </row>
    <row r="15" spans="1:23" x14ac:dyDescent="0.3">
      <c r="A15" s="85" t="s">
        <v>123</v>
      </c>
      <c r="B15" s="76">
        <v>3</v>
      </c>
      <c r="C15" s="76">
        <v>2</v>
      </c>
      <c r="D15" s="76">
        <v>0</v>
      </c>
      <c r="E15" s="76">
        <v>6</v>
      </c>
      <c r="F15" s="76">
        <v>0</v>
      </c>
      <c r="G15" s="76">
        <v>5</v>
      </c>
      <c r="H15" s="76">
        <v>5</v>
      </c>
      <c r="I15" s="76">
        <v>5</v>
      </c>
      <c r="J15" s="76">
        <v>0</v>
      </c>
      <c r="K15" s="76">
        <v>5</v>
      </c>
      <c r="L15" s="76">
        <v>10</v>
      </c>
      <c r="M15" s="76">
        <v>5</v>
      </c>
      <c r="N15" s="76">
        <v>8</v>
      </c>
      <c r="O15" s="76">
        <v>0</v>
      </c>
      <c r="P15" s="76">
        <v>5</v>
      </c>
      <c r="Q15" s="76">
        <v>8</v>
      </c>
      <c r="R15" s="76">
        <v>0</v>
      </c>
      <c r="S15" s="76">
        <v>0</v>
      </c>
      <c r="T15" s="76">
        <v>0</v>
      </c>
      <c r="U15" s="78">
        <v>0</v>
      </c>
      <c r="V15" s="80"/>
      <c r="W15" s="81">
        <f>+SUM(B15:U16)</f>
        <v>67</v>
      </c>
    </row>
    <row r="16" spans="1:23" ht="15" thickBot="1" x14ac:dyDescent="0.35">
      <c r="A16" s="8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9"/>
      <c r="V16" s="80"/>
      <c r="W16" s="82"/>
    </row>
    <row r="17" spans="1:24" x14ac:dyDescent="0.3">
      <c r="A17" s="91" t="s">
        <v>124</v>
      </c>
      <c r="B17" s="76">
        <v>3</v>
      </c>
      <c r="C17" s="76">
        <v>2</v>
      </c>
      <c r="D17" s="76">
        <v>6</v>
      </c>
      <c r="E17" s="76">
        <v>6</v>
      </c>
      <c r="F17" s="76">
        <v>0</v>
      </c>
      <c r="G17" s="76">
        <v>5</v>
      </c>
      <c r="H17" s="76">
        <v>5</v>
      </c>
      <c r="I17" s="76">
        <v>5</v>
      </c>
      <c r="J17" s="76">
        <v>10</v>
      </c>
      <c r="K17" s="76">
        <v>5</v>
      </c>
      <c r="L17" s="76">
        <v>10</v>
      </c>
      <c r="M17" s="76">
        <v>5</v>
      </c>
      <c r="N17" s="76">
        <v>10</v>
      </c>
      <c r="O17" s="76">
        <v>3</v>
      </c>
      <c r="P17" s="76">
        <v>5</v>
      </c>
      <c r="Q17" s="76">
        <v>10</v>
      </c>
      <c r="R17" s="76">
        <v>4</v>
      </c>
      <c r="S17" s="76">
        <v>0</v>
      </c>
      <c r="T17" s="76">
        <v>0</v>
      </c>
      <c r="U17" s="78">
        <v>-10</v>
      </c>
      <c r="V17" s="80"/>
      <c r="W17" s="81">
        <f>+SUM(B17:U18)</f>
        <v>84</v>
      </c>
    </row>
    <row r="18" spans="1:24" ht="15" thickBot="1" x14ac:dyDescent="0.35">
      <c r="A18" s="92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9"/>
      <c r="V18" s="80"/>
      <c r="W18" s="82"/>
    </row>
    <row r="19" spans="1:24" x14ac:dyDescent="0.3">
      <c r="A19" s="85" t="s">
        <v>125</v>
      </c>
      <c r="B19" s="76">
        <v>3</v>
      </c>
      <c r="C19" s="76">
        <v>4</v>
      </c>
      <c r="D19" s="76">
        <v>6</v>
      </c>
      <c r="E19" s="76">
        <v>6</v>
      </c>
      <c r="F19" s="76">
        <v>0</v>
      </c>
      <c r="G19" s="76">
        <v>5</v>
      </c>
      <c r="H19" s="76">
        <v>5</v>
      </c>
      <c r="I19" s="76">
        <v>5</v>
      </c>
      <c r="J19" s="76">
        <v>5</v>
      </c>
      <c r="K19" s="76">
        <v>5</v>
      </c>
      <c r="L19" s="76">
        <v>6</v>
      </c>
      <c r="M19" s="76">
        <v>5</v>
      </c>
      <c r="N19" s="76">
        <v>6</v>
      </c>
      <c r="O19" s="76">
        <v>5</v>
      </c>
      <c r="P19" s="76">
        <v>5</v>
      </c>
      <c r="Q19" s="76">
        <v>10</v>
      </c>
      <c r="R19" s="76">
        <v>0</v>
      </c>
      <c r="S19" s="76">
        <v>-7</v>
      </c>
      <c r="T19" s="76">
        <v>0</v>
      </c>
      <c r="U19" s="78">
        <v>0</v>
      </c>
      <c r="V19" s="80"/>
      <c r="W19" s="81">
        <f>+SUM(B19:U20)</f>
        <v>74</v>
      </c>
    </row>
    <row r="20" spans="1:24" ht="15" thickBot="1" x14ac:dyDescent="0.35">
      <c r="A20" s="8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9"/>
      <c r="V20" s="80"/>
      <c r="W20" s="82"/>
    </row>
    <row r="21" spans="1:24" x14ac:dyDescent="0.3">
      <c r="A21" s="91" t="s">
        <v>126</v>
      </c>
      <c r="B21" s="76">
        <v>3</v>
      </c>
      <c r="C21" s="76">
        <v>4</v>
      </c>
      <c r="D21" s="76">
        <v>6</v>
      </c>
      <c r="E21" s="76">
        <v>6</v>
      </c>
      <c r="F21" s="76">
        <v>0</v>
      </c>
      <c r="G21" s="76">
        <v>5</v>
      </c>
      <c r="H21" s="76">
        <v>5</v>
      </c>
      <c r="I21" s="76">
        <v>5</v>
      </c>
      <c r="J21" s="76">
        <v>10</v>
      </c>
      <c r="K21" s="76">
        <v>5</v>
      </c>
      <c r="L21" s="76">
        <v>8</v>
      </c>
      <c r="M21" s="76">
        <v>5</v>
      </c>
      <c r="N21" s="76">
        <v>8</v>
      </c>
      <c r="O21" s="76">
        <v>0</v>
      </c>
      <c r="P21" s="76">
        <v>5</v>
      </c>
      <c r="Q21" s="76">
        <v>10</v>
      </c>
      <c r="R21" s="76">
        <v>4</v>
      </c>
      <c r="S21" s="76">
        <v>0</v>
      </c>
      <c r="T21" s="76">
        <v>0</v>
      </c>
      <c r="U21" s="78">
        <v>0</v>
      </c>
      <c r="V21" s="80"/>
      <c r="W21" s="81">
        <f>+SUM(B21:U22)</f>
        <v>89</v>
      </c>
    </row>
    <row r="22" spans="1:24" ht="15" thickBot="1" x14ac:dyDescent="0.35">
      <c r="A22" s="92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9"/>
      <c r="V22" s="80"/>
      <c r="W22" s="82"/>
    </row>
    <row r="23" spans="1:24" x14ac:dyDescent="0.3">
      <c r="A23" s="95" t="s">
        <v>127</v>
      </c>
      <c r="B23" s="76">
        <v>3</v>
      </c>
      <c r="C23" s="76">
        <v>4</v>
      </c>
      <c r="D23" s="76">
        <v>3</v>
      </c>
      <c r="E23" s="76">
        <v>3</v>
      </c>
      <c r="F23" s="76">
        <v>0</v>
      </c>
      <c r="G23" s="76">
        <v>5</v>
      </c>
      <c r="H23" s="76">
        <v>5</v>
      </c>
      <c r="I23" s="76">
        <v>0</v>
      </c>
      <c r="J23" s="76">
        <v>10</v>
      </c>
      <c r="K23" s="76">
        <v>5</v>
      </c>
      <c r="L23" s="76">
        <v>6</v>
      </c>
      <c r="M23" s="76">
        <v>5</v>
      </c>
      <c r="N23" s="76">
        <v>10</v>
      </c>
      <c r="O23" s="76">
        <v>5</v>
      </c>
      <c r="P23" s="76">
        <v>5</v>
      </c>
      <c r="Q23" s="76">
        <v>8</v>
      </c>
      <c r="R23" s="76">
        <v>5</v>
      </c>
      <c r="S23" s="76">
        <v>0</v>
      </c>
      <c r="T23" s="76">
        <v>0</v>
      </c>
      <c r="U23" s="78">
        <v>0</v>
      </c>
      <c r="V23" s="80"/>
      <c r="W23" s="81">
        <f>+SUM(B23:U24)</f>
        <v>82</v>
      </c>
    </row>
    <row r="24" spans="1:24" ht="15" thickBot="1" x14ac:dyDescent="0.35">
      <c r="A24" s="9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9"/>
      <c r="V24" s="80"/>
      <c r="W24" s="82"/>
    </row>
    <row r="25" spans="1:24" x14ac:dyDescent="0.3">
      <c r="A25" s="87" t="s">
        <v>128</v>
      </c>
      <c r="B25" s="76">
        <v>3</v>
      </c>
      <c r="C25" s="76">
        <v>2</v>
      </c>
      <c r="D25" s="76">
        <v>6</v>
      </c>
      <c r="E25" s="76">
        <v>0</v>
      </c>
      <c r="F25" s="76">
        <v>6</v>
      </c>
      <c r="G25" s="76">
        <v>5</v>
      </c>
      <c r="H25" s="76">
        <v>5</v>
      </c>
      <c r="I25" s="76">
        <v>0</v>
      </c>
      <c r="J25" s="76">
        <v>10</v>
      </c>
      <c r="K25" s="76">
        <v>5</v>
      </c>
      <c r="L25" s="76">
        <v>10</v>
      </c>
      <c r="M25" s="76">
        <v>5</v>
      </c>
      <c r="N25" s="76">
        <v>10</v>
      </c>
      <c r="O25" s="76">
        <v>5</v>
      </c>
      <c r="P25" s="76">
        <v>5</v>
      </c>
      <c r="Q25" s="76">
        <v>10</v>
      </c>
      <c r="R25" s="76">
        <v>5</v>
      </c>
      <c r="S25" s="76">
        <v>0</v>
      </c>
      <c r="T25" s="76">
        <v>0</v>
      </c>
      <c r="U25" s="78">
        <v>0</v>
      </c>
      <c r="V25" s="80"/>
      <c r="W25" s="81">
        <f>+SUM(B25:U26)</f>
        <v>92</v>
      </c>
    </row>
    <row r="26" spans="1:24" ht="15" thickBot="1" x14ac:dyDescent="0.35">
      <c r="A26" s="88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9"/>
      <c r="V26" s="80"/>
      <c r="W26" s="82"/>
    </row>
    <row r="27" spans="1:24" x14ac:dyDescent="0.3">
      <c r="A27" s="85" t="s">
        <v>129</v>
      </c>
      <c r="B27" s="76">
        <v>3</v>
      </c>
      <c r="C27" s="76">
        <v>4</v>
      </c>
      <c r="D27" s="76">
        <v>6</v>
      </c>
      <c r="E27" s="76">
        <v>6</v>
      </c>
      <c r="F27" s="76">
        <v>6</v>
      </c>
      <c r="G27" s="76">
        <v>5</v>
      </c>
      <c r="H27" s="76">
        <v>5</v>
      </c>
      <c r="I27" s="76">
        <v>5</v>
      </c>
      <c r="J27" s="76">
        <v>10</v>
      </c>
      <c r="K27" s="76">
        <v>5</v>
      </c>
      <c r="L27" s="76">
        <v>10</v>
      </c>
      <c r="M27" s="76">
        <v>5</v>
      </c>
      <c r="N27" s="76">
        <v>10</v>
      </c>
      <c r="O27" s="76">
        <v>5</v>
      </c>
      <c r="P27" s="76">
        <v>5</v>
      </c>
      <c r="Q27" s="76">
        <v>10</v>
      </c>
      <c r="R27" s="76">
        <v>0</v>
      </c>
      <c r="S27" s="76">
        <v>0</v>
      </c>
      <c r="T27" s="76">
        <v>0</v>
      </c>
      <c r="U27" s="78">
        <v>0</v>
      </c>
      <c r="V27" s="80"/>
      <c r="W27" s="81">
        <f>+SUM(B27:U28)</f>
        <v>100</v>
      </c>
    </row>
    <row r="28" spans="1:24" ht="15" thickBot="1" x14ac:dyDescent="0.35">
      <c r="A28" s="8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9"/>
      <c r="V28" s="80"/>
      <c r="W28" s="82"/>
    </row>
    <row r="29" spans="1:24" x14ac:dyDescent="0.3">
      <c r="A29" s="91" t="s">
        <v>130</v>
      </c>
      <c r="B29" s="76">
        <v>0</v>
      </c>
      <c r="C29" s="76">
        <v>4</v>
      </c>
      <c r="D29" s="76">
        <v>6</v>
      </c>
      <c r="E29" s="76">
        <v>6</v>
      </c>
      <c r="F29" s="76">
        <v>6</v>
      </c>
      <c r="G29" s="76">
        <v>5</v>
      </c>
      <c r="H29" s="76">
        <v>5</v>
      </c>
      <c r="I29" s="76">
        <v>5</v>
      </c>
      <c r="J29" s="76">
        <v>10</v>
      </c>
      <c r="K29" s="76">
        <v>5</v>
      </c>
      <c r="L29" s="76">
        <v>10</v>
      </c>
      <c r="M29" s="76">
        <v>5</v>
      </c>
      <c r="N29" s="76">
        <v>10</v>
      </c>
      <c r="O29" s="76">
        <v>5</v>
      </c>
      <c r="P29" s="76">
        <v>5</v>
      </c>
      <c r="Q29" s="76">
        <v>10</v>
      </c>
      <c r="R29" s="76">
        <v>3</v>
      </c>
      <c r="S29" s="76">
        <v>0</v>
      </c>
      <c r="T29" s="76">
        <v>0</v>
      </c>
      <c r="U29" s="78">
        <v>0</v>
      </c>
      <c r="V29" s="80"/>
      <c r="W29" s="81">
        <f>+SUM(B29:U30)</f>
        <v>100</v>
      </c>
      <c r="X29" s="93" t="s">
        <v>157</v>
      </c>
    </row>
    <row r="30" spans="1:24" ht="15" thickBot="1" x14ac:dyDescent="0.35">
      <c r="A30" s="92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9"/>
      <c r="V30" s="80"/>
      <c r="W30" s="82"/>
      <c r="X30" s="93"/>
    </row>
    <row r="31" spans="1:24" x14ac:dyDescent="0.3">
      <c r="A31" s="85" t="s">
        <v>131</v>
      </c>
      <c r="B31" s="76">
        <v>3</v>
      </c>
      <c r="C31" s="76">
        <v>4</v>
      </c>
      <c r="D31" s="76">
        <v>6</v>
      </c>
      <c r="E31" s="76">
        <v>0</v>
      </c>
      <c r="F31" s="76">
        <v>0</v>
      </c>
      <c r="G31" s="76">
        <v>5</v>
      </c>
      <c r="H31" s="76">
        <v>5</v>
      </c>
      <c r="I31" s="76">
        <v>5</v>
      </c>
      <c r="J31" s="76">
        <v>5</v>
      </c>
      <c r="K31" s="76">
        <v>5</v>
      </c>
      <c r="L31" s="76">
        <v>6</v>
      </c>
      <c r="M31" s="76">
        <v>5</v>
      </c>
      <c r="N31" s="76">
        <v>4</v>
      </c>
      <c r="O31" s="76">
        <v>0</v>
      </c>
      <c r="P31" s="76">
        <v>5</v>
      </c>
      <c r="Q31" s="76">
        <v>6</v>
      </c>
      <c r="R31" s="76">
        <v>0</v>
      </c>
      <c r="S31" s="76">
        <v>0</v>
      </c>
      <c r="T31" s="76">
        <v>0</v>
      </c>
      <c r="U31" s="78">
        <v>0</v>
      </c>
      <c r="V31" s="80"/>
      <c r="W31" s="81">
        <f>+SUM(B31:U32)</f>
        <v>64</v>
      </c>
    </row>
    <row r="32" spans="1:24" ht="15" thickBot="1" x14ac:dyDescent="0.35">
      <c r="A32" s="8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9"/>
      <c r="V32" s="80"/>
      <c r="W32" s="82"/>
    </row>
    <row r="33" spans="1:23" x14ac:dyDescent="0.3">
      <c r="A33" s="87" t="s">
        <v>132</v>
      </c>
      <c r="B33" s="76">
        <v>3</v>
      </c>
      <c r="C33" s="76">
        <v>2</v>
      </c>
      <c r="D33" s="76">
        <v>3</v>
      </c>
      <c r="E33" s="76">
        <v>3</v>
      </c>
      <c r="F33" s="76">
        <v>0</v>
      </c>
      <c r="G33" s="76">
        <v>5</v>
      </c>
      <c r="H33" s="76">
        <v>3</v>
      </c>
      <c r="I33" s="76">
        <v>5</v>
      </c>
      <c r="J33" s="76">
        <v>5</v>
      </c>
      <c r="K33" s="76">
        <v>5</v>
      </c>
      <c r="L33" s="76">
        <v>6</v>
      </c>
      <c r="M33" s="76">
        <v>5</v>
      </c>
      <c r="N33" s="76">
        <v>6</v>
      </c>
      <c r="O33" s="76">
        <v>0</v>
      </c>
      <c r="P33" s="76">
        <v>5</v>
      </c>
      <c r="Q33" s="76">
        <v>6</v>
      </c>
      <c r="R33" s="76">
        <v>0</v>
      </c>
      <c r="S33" s="76">
        <v>0</v>
      </c>
      <c r="T33" s="76">
        <v>0</v>
      </c>
      <c r="U33" s="78">
        <v>0</v>
      </c>
      <c r="V33" s="80"/>
      <c r="W33" s="81">
        <f>+SUM(B33:U34)</f>
        <v>62</v>
      </c>
    </row>
    <row r="34" spans="1:23" x14ac:dyDescent="0.3">
      <c r="A34" s="94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9"/>
      <c r="V34" s="77"/>
      <c r="W34" s="82"/>
    </row>
  </sheetData>
  <mergeCells count="370">
    <mergeCell ref="X29:X30"/>
    <mergeCell ref="W23:W24"/>
    <mergeCell ref="W25:W26"/>
    <mergeCell ref="W27:W28"/>
    <mergeCell ref="W29:W30"/>
    <mergeCell ref="W31:W32"/>
    <mergeCell ref="W33:W34"/>
    <mergeCell ref="A33:A3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A21:A22"/>
    <mergeCell ref="A23:A24"/>
    <mergeCell ref="A25:A26"/>
    <mergeCell ref="A27:A28"/>
    <mergeCell ref="A29:A30"/>
    <mergeCell ref="A31:A32"/>
    <mergeCell ref="T33:T34"/>
    <mergeCell ref="A7:A8"/>
    <mergeCell ref="A9:A10"/>
    <mergeCell ref="A11:A12"/>
    <mergeCell ref="A13:A14"/>
    <mergeCell ref="A15:A16"/>
    <mergeCell ref="A17:A18"/>
    <mergeCell ref="A19:A20"/>
    <mergeCell ref="N33:N34"/>
    <mergeCell ref="O33:O34"/>
    <mergeCell ref="H33:H34"/>
    <mergeCell ref="I33:I34"/>
    <mergeCell ref="J33:J34"/>
    <mergeCell ref="K33:K34"/>
    <mergeCell ref="L33:L34"/>
    <mergeCell ref="M33:M34"/>
    <mergeCell ref="B33:B34"/>
    <mergeCell ref="C33:C34"/>
    <mergeCell ref="D33:D34"/>
    <mergeCell ref="E33:E34"/>
    <mergeCell ref="F33:F34"/>
    <mergeCell ref="G33:G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U33:U34"/>
    <mergeCell ref="V33:V34"/>
    <mergeCell ref="P33:P34"/>
    <mergeCell ref="Q33:Q34"/>
    <mergeCell ref="R33:R34"/>
    <mergeCell ref="S33:S34"/>
    <mergeCell ref="V29:V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B29:B30"/>
    <mergeCell ref="C29:C30"/>
    <mergeCell ref="D29:D30"/>
    <mergeCell ref="E29:E30"/>
    <mergeCell ref="F29:F30"/>
    <mergeCell ref="G29:G30"/>
    <mergeCell ref="H29:H30"/>
    <mergeCell ref="I29:I30"/>
    <mergeCell ref="O27:O28"/>
    <mergeCell ref="V25:V26"/>
    <mergeCell ref="B27:B28"/>
    <mergeCell ref="C27:C28"/>
    <mergeCell ref="D27:D28"/>
    <mergeCell ref="E27:E28"/>
    <mergeCell ref="F27:F28"/>
    <mergeCell ref="G27:G28"/>
    <mergeCell ref="H27:H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B25:B26"/>
    <mergeCell ref="C25:C26"/>
    <mergeCell ref="U27:U28"/>
    <mergeCell ref="V27:V28"/>
    <mergeCell ref="D25:D26"/>
    <mergeCell ref="E25:E26"/>
    <mergeCell ref="F25:F26"/>
    <mergeCell ref="G25:G26"/>
    <mergeCell ref="Q23:Q24"/>
    <mergeCell ref="R23:R24"/>
    <mergeCell ref="S23:S24"/>
    <mergeCell ref="T23:T24"/>
    <mergeCell ref="U23:U24"/>
    <mergeCell ref="T25:T26"/>
    <mergeCell ref="U25:U26"/>
    <mergeCell ref="V23:V24"/>
    <mergeCell ref="K23:K24"/>
    <mergeCell ref="L23:L24"/>
    <mergeCell ref="M23:M24"/>
    <mergeCell ref="N23:N24"/>
    <mergeCell ref="O23:O24"/>
    <mergeCell ref="P23:P24"/>
    <mergeCell ref="V21:V22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B21:B22"/>
    <mergeCell ref="C21:C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T17:T18"/>
    <mergeCell ref="U17:U18"/>
    <mergeCell ref="V17:V18"/>
    <mergeCell ref="B19:B20"/>
    <mergeCell ref="C19:C20"/>
    <mergeCell ref="D19:D20"/>
    <mergeCell ref="E19:E20"/>
    <mergeCell ref="F19:F20"/>
    <mergeCell ref="G19:G20"/>
    <mergeCell ref="H19:H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U11:U12"/>
    <mergeCell ref="V11:V12"/>
    <mergeCell ref="B13:B14"/>
    <mergeCell ref="C13:C14"/>
    <mergeCell ref="D13:D14"/>
    <mergeCell ref="E13:E14"/>
    <mergeCell ref="F13:F14"/>
    <mergeCell ref="G13:G14"/>
    <mergeCell ref="H13:H14"/>
    <mergeCell ref="I13:I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V13:V14"/>
    <mergeCell ref="P13:P14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N10"/>
    <mergeCell ref="O9:O10"/>
    <mergeCell ref="T7:T8"/>
    <mergeCell ref="U7:U8"/>
    <mergeCell ref="V7:V8"/>
    <mergeCell ref="B9:B10"/>
    <mergeCell ref="C9:C10"/>
    <mergeCell ref="D9:D10"/>
    <mergeCell ref="E9:E10"/>
    <mergeCell ref="F9:F10"/>
    <mergeCell ref="G9:G10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T9:T10"/>
    <mergeCell ref="U9:U10"/>
    <mergeCell ref="V9:V10"/>
    <mergeCell ref="P5:P6"/>
    <mergeCell ref="Q5:Q6"/>
    <mergeCell ref="F5:F6"/>
    <mergeCell ref="G5:G6"/>
    <mergeCell ref="H5:H6"/>
    <mergeCell ref="I5:I6"/>
    <mergeCell ref="J5:J6"/>
    <mergeCell ref="K5:K6"/>
    <mergeCell ref="S7:S8"/>
    <mergeCell ref="B7:B8"/>
    <mergeCell ref="C7:C8"/>
    <mergeCell ref="D7:D8"/>
    <mergeCell ref="E7:E8"/>
    <mergeCell ref="F7:F8"/>
    <mergeCell ref="L5:L6"/>
    <mergeCell ref="M5:M6"/>
    <mergeCell ref="N5:N6"/>
    <mergeCell ref="O5:O6"/>
    <mergeCell ref="V3:V4"/>
    <mergeCell ref="W3:W4"/>
    <mergeCell ref="A5:A6"/>
    <mergeCell ref="B5:B6"/>
    <mergeCell ref="C5:C6"/>
    <mergeCell ref="D5:D6"/>
    <mergeCell ref="E5:E6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R5:R6"/>
    <mergeCell ref="S5:S6"/>
    <mergeCell ref="T5:T6"/>
    <mergeCell ref="U5:U6"/>
    <mergeCell ref="V5:V6"/>
    <mergeCell ref="B1:U1"/>
    <mergeCell ref="A3:A4"/>
    <mergeCell ref="B3:B4"/>
    <mergeCell ref="C3:C4"/>
    <mergeCell ref="D3:D4"/>
    <mergeCell ref="E3:E4"/>
    <mergeCell ref="F3:F4"/>
    <mergeCell ref="G3:G4"/>
    <mergeCell ref="T3:T4"/>
    <mergeCell ref="U3:U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48A9-DB55-4675-B273-21A796D9D4CD}">
  <dimension ref="A1:X18"/>
  <sheetViews>
    <sheetView showGridLines="0" zoomScale="70" zoomScaleNormal="70" workbookViewId="0">
      <selection activeCell="G21" sqref="G21"/>
    </sheetView>
  </sheetViews>
  <sheetFormatPr baseColWidth="10" defaultRowHeight="14.4" x14ac:dyDescent="0.3"/>
  <cols>
    <col min="5" max="5" width="16.77734375" customWidth="1"/>
    <col min="9" max="9" width="12.6640625" customWidth="1"/>
    <col min="13" max="13" width="15.109375" customWidth="1"/>
    <col min="14" max="14" width="13.88671875" customWidth="1"/>
    <col min="20" max="20" width="13" customWidth="1"/>
    <col min="24" max="24" width="60.77734375" bestFit="1" customWidth="1"/>
  </cols>
  <sheetData>
    <row r="1" spans="1:24" x14ac:dyDescent="0.3">
      <c r="A1" s="52"/>
      <c r="B1" s="73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52"/>
      <c r="W1" s="62"/>
    </row>
    <row r="2" spans="1:24" ht="62.4" x14ac:dyDescent="0.3">
      <c r="A2" s="61" t="s">
        <v>150</v>
      </c>
      <c r="B2" s="58" t="s">
        <v>3</v>
      </c>
      <c r="C2" s="58" t="s">
        <v>7</v>
      </c>
      <c r="D2" s="58" t="s">
        <v>11</v>
      </c>
      <c r="E2" s="58" t="s">
        <v>20</v>
      </c>
      <c r="F2" s="58" t="s">
        <v>29</v>
      </c>
      <c r="G2" s="58" t="s">
        <v>34</v>
      </c>
      <c r="H2" s="58" t="s">
        <v>39</v>
      </c>
      <c r="I2" s="58" t="s">
        <v>43</v>
      </c>
      <c r="J2" s="58" t="s">
        <v>52</v>
      </c>
      <c r="K2" s="58" t="s">
        <v>57</v>
      </c>
      <c r="L2" s="58" t="s">
        <v>60</v>
      </c>
      <c r="M2" s="58" t="s">
        <v>68</v>
      </c>
      <c r="N2" s="58" t="s">
        <v>71</v>
      </c>
      <c r="O2" s="58" t="s">
        <v>72</v>
      </c>
      <c r="P2" s="58" t="s">
        <v>77</v>
      </c>
      <c r="Q2" s="58" t="s">
        <v>80</v>
      </c>
      <c r="R2" s="58" t="s">
        <v>151</v>
      </c>
      <c r="S2" s="58" t="s">
        <v>152</v>
      </c>
      <c r="T2" s="58" t="s">
        <v>153</v>
      </c>
      <c r="U2" s="58" t="s">
        <v>154</v>
      </c>
      <c r="V2" s="63"/>
      <c r="W2" s="58" t="s">
        <v>155</v>
      </c>
    </row>
    <row r="3" spans="1:24" ht="15.6" x14ac:dyDescent="0.3">
      <c r="A3" s="60" t="s">
        <v>82</v>
      </c>
      <c r="B3" s="97" t="s">
        <v>163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9"/>
      <c r="V3" s="56"/>
      <c r="W3" s="55">
        <f>+SUM(B3:U3)</f>
        <v>0</v>
      </c>
    </row>
    <row r="4" spans="1:24" ht="15.6" x14ac:dyDescent="0.3">
      <c r="A4" s="64" t="s">
        <v>84</v>
      </c>
      <c r="B4" s="53">
        <v>0</v>
      </c>
      <c r="C4" s="53">
        <v>4</v>
      </c>
      <c r="D4" s="53">
        <v>0</v>
      </c>
      <c r="E4" s="53">
        <v>0</v>
      </c>
      <c r="F4" s="53">
        <v>0</v>
      </c>
      <c r="G4" s="53">
        <v>5</v>
      </c>
      <c r="H4" s="53">
        <v>0</v>
      </c>
      <c r="I4" s="53">
        <v>0</v>
      </c>
      <c r="J4" s="53">
        <v>5</v>
      </c>
      <c r="K4" s="53">
        <v>0</v>
      </c>
      <c r="L4" s="53">
        <v>10</v>
      </c>
      <c r="M4" s="53">
        <v>0</v>
      </c>
      <c r="N4" s="53">
        <v>10</v>
      </c>
      <c r="O4" s="53">
        <v>0</v>
      </c>
      <c r="P4" s="53">
        <v>5</v>
      </c>
      <c r="Q4" s="53">
        <v>6</v>
      </c>
      <c r="R4" s="53">
        <v>3</v>
      </c>
      <c r="S4" s="53">
        <v>0</v>
      </c>
      <c r="T4" s="53">
        <v>0</v>
      </c>
      <c r="U4" s="54">
        <v>0</v>
      </c>
      <c r="V4" s="56"/>
      <c r="W4" s="55">
        <f t="shared" ref="W4:W16" si="0">+SUM(B4:U4)</f>
        <v>48</v>
      </c>
    </row>
    <row r="5" spans="1:24" ht="15.6" x14ac:dyDescent="0.3">
      <c r="A5" s="60" t="s">
        <v>85</v>
      </c>
      <c r="B5" s="53">
        <v>3</v>
      </c>
      <c r="C5" s="53">
        <v>4</v>
      </c>
      <c r="D5" s="53">
        <v>6</v>
      </c>
      <c r="E5" s="53">
        <v>6</v>
      </c>
      <c r="F5" s="53">
        <v>0</v>
      </c>
      <c r="G5" s="53">
        <v>5</v>
      </c>
      <c r="H5" s="53">
        <v>5</v>
      </c>
      <c r="I5" s="53">
        <v>0</v>
      </c>
      <c r="J5" s="53">
        <v>10</v>
      </c>
      <c r="K5" s="53">
        <v>5</v>
      </c>
      <c r="L5" s="53">
        <v>10</v>
      </c>
      <c r="M5" s="53">
        <v>5</v>
      </c>
      <c r="N5" s="53">
        <v>10</v>
      </c>
      <c r="O5" s="53">
        <v>0</v>
      </c>
      <c r="P5" s="53">
        <v>5</v>
      </c>
      <c r="Q5" s="53">
        <v>10</v>
      </c>
      <c r="R5" s="53">
        <v>5</v>
      </c>
      <c r="S5" s="53">
        <v>0</v>
      </c>
      <c r="T5" s="53">
        <v>0</v>
      </c>
      <c r="U5" s="54">
        <v>0</v>
      </c>
      <c r="V5" s="56"/>
      <c r="W5" s="55">
        <f t="shared" si="0"/>
        <v>89</v>
      </c>
    </row>
    <row r="6" spans="1:24" ht="15.6" x14ac:dyDescent="0.3">
      <c r="A6" s="64" t="s">
        <v>86</v>
      </c>
      <c r="B6" s="53">
        <v>3</v>
      </c>
      <c r="C6" s="53">
        <v>2</v>
      </c>
      <c r="D6" s="53">
        <v>6</v>
      </c>
      <c r="E6" s="53">
        <v>6</v>
      </c>
      <c r="F6" s="53">
        <v>6</v>
      </c>
      <c r="G6" s="53">
        <v>5</v>
      </c>
      <c r="H6" s="53">
        <v>5</v>
      </c>
      <c r="I6" s="53">
        <v>5</v>
      </c>
      <c r="J6" s="53">
        <v>0</v>
      </c>
      <c r="K6" s="53">
        <v>5</v>
      </c>
      <c r="L6" s="53">
        <v>10</v>
      </c>
      <c r="M6" s="53">
        <v>5</v>
      </c>
      <c r="N6" s="53">
        <v>10</v>
      </c>
      <c r="O6" s="53">
        <v>0</v>
      </c>
      <c r="P6" s="53">
        <v>5</v>
      </c>
      <c r="Q6" s="53">
        <v>6</v>
      </c>
      <c r="R6" s="53">
        <v>4</v>
      </c>
      <c r="S6" s="53">
        <v>0</v>
      </c>
      <c r="T6" s="53">
        <v>0</v>
      </c>
      <c r="U6" s="54">
        <v>0</v>
      </c>
      <c r="V6" s="56"/>
      <c r="W6" s="55">
        <f t="shared" si="0"/>
        <v>83</v>
      </c>
    </row>
    <row r="7" spans="1:24" ht="15.6" x14ac:dyDescent="0.3">
      <c r="A7" s="60" t="s">
        <v>87</v>
      </c>
      <c r="B7" s="53">
        <v>3</v>
      </c>
      <c r="C7" s="53">
        <v>4</v>
      </c>
      <c r="D7" s="53">
        <v>6</v>
      </c>
      <c r="E7" s="53">
        <v>6</v>
      </c>
      <c r="F7" s="53">
        <v>6</v>
      </c>
      <c r="G7" s="53">
        <v>5</v>
      </c>
      <c r="H7" s="53">
        <v>5</v>
      </c>
      <c r="I7" s="53">
        <v>5</v>
      </c>
      <c r="J7" s="53">
        <v>10</v>
      </c>
      <c r="K7" s="53">
        <v>5</v>
      </c>
      <c r="L7" s="53">
        <v>10</v>
      </c>
      <c r="M7" s="53">
        <v>5</v>
      </c>
      <c r="N7" s="53">
        <v>10</v>
      </c>
      <c r="O7" s="53">
        <v>5</v>
      </c>
      <c r="P7" s="53">
        <v>5</v>
      </c>
      <c r="Q7" s="53">
        <v>10</v>
      </c>
      <c r="R7" s="53">
        <v>0</v>
      </c>
      <c r="S7" s="53">
        <v>0</v>
      </c>
      <c r="T7" s="53">
        <v>0</v>
      </c>
      <c r="U7" s="54">
        <v>0</v>
      </c>
      <c r="V7" s="56"/>
      <c r="W7" s="55">
        <f t="shared" si="0"/>
        <v>100</v>
      </c>
      <c r="X7" t="s">
        <v>162</v>
      </c>
    </row>
    <row r="8" spans="1:24" ht="15.6" x14ac:dyDescent="0.3">
      <c r="A8" s="64" t="s">
        <v>88</v>
      </c>
      <c r="B8" s="53">
        <v>3</v>
      </c>
      <c r="C8" s="53">
        <v>4</v>
      </c>
      <c r="D8" s="53">
        <v>6</v>
      </c>
      <c r="E8" s="53">
        <v>6</v>
      </c>
      <c r="F8" s="53">
        <v>6</v>
      </c>
      <c r="G8" s="53">
        <v>5</v>
      </c>
      <c r="H8" s="53">
        <v>5</v>
      </c>
      <c r="I8" s="53">
        <v>5</v>
      </c>
      <c r="J8" s="53">
        <v>10</v>
      </c>
      <c r="K8" s="53">
        <v>5</v>
      </c>
      <c r="L8" s="53">
        <v>10</v>
      </c>
      <c r="M8" s="53">
        <v>5</v>
      </c>
      <c r="N8" s="53">
        <v>10</v>
      </c>
      <c r="O8" s="53">
        <v>5</v>
      </c>
      <c r="P8" s="53">
        <v>5</v>
      </c>
      <c r="Q8" s="53">
        <v>10</v>
      </c>
      <c r="R8" s="53">
        <v>0</v>
      </c>
      <c r="S8" s="53">
        <v>0</v>
      </c>
      <c r="T8" s="53">
        <v>0</v>
      </c>
      <c r="U8" s="54">
        <v>0</v>
      </c>
      <c r="V8" s="56"/>
      <c r="W8" s="55">
        <f t="shared" si="0"/>
        <v>100</v>
      </c>
    </row>
    <row r="9" spans="1:24" ht="15.6" x14ac:dyDescent="0.3">
      <c r="A9" s="60" t="s">
        <v>89</v>
      </c>
      <c r="B9" s="53">
        <v>3</v>
      </c>
      <c r="C9" s="53">
        <v>4</v>
      </c>
      <c r="D9" s="53">
        <v>6</v>
      </c>
      <c r="E9" s="53">
        <v>0</v>
      </c>
      <c r="F9" s="53">
        <v>0</v>
      </c>
      <c r="G9" s="53">
        <v>5</v>
      </c>
      <c r="H9" s="53">
        <v>5</v>
      </c>
      <c r="I9" s="53">
        <v>5</v>
      </c>
      <c r="J9" s="53">
        <v>10</v>
      </c>
      <c r="K9" s="53">
        <v>5</v>
      </c>
      <c r="L9" s="53">
        <v>10</v>
      </c>
      <c r="M9" s="53">
        <v>5</v>
      </c>
      <c r="N9" s="53">
        <v>10</v>
      </c>
      <c r="O9" s="53">
        <v>5</v>
      </c>
      <c r="P9" s="53">
        <v>5</v>
      </c>
      <c r="Q9" s="53">
        <v>6</v>
      </c>
      <c r="R9" s="53">
        <v>0</v>
      </c>
      <c r="S9" s="53">
        <v>0</v>
      </c>
      <c r="T9" s="53">
        <v>0</v>
      </c>
      <c r="U9" s="54">
        <v>0</v>
      </c>
      <c r="V9" s="56"/>
      <c r="W9" s="55">
        <f t="shared" si="0"/>
        <v>84</v>
      </c>
    </row>
    <row r="10" spans="1:24" ht="15.6" x14ac:dyDescent="0.3">
      <c r="A10" s="64" t="s">
        <v>90</v>
      </c>
      <c r="B10" s="53">
        <v>3</v>
      </c>
      <c r="C10" s="53">
        <v>4</v>
      </c>
      <c r="D10" s="53">
        <v>6</v>
      </c>
      <c r="E10" s="53">
        <v>6</v>
      </c>
      <c r="F10" s="53">
        <v>6</v>
      </c>
      <c r="G10" s="53">
        <v>5</v>
      </c>
      <c r="H10" s="53">
        <v>5</v>
      </c>
      <c r="I10" s="53">
        <v>5</v>
      </c>
      <c r="J10" s="53">
        <v>10</v>
      </c>
      <c r="K10" s="53">
        <v>5</v>
      </c>
      <c r="L10" s="53">
        <v>10</v>
      </c>
      <c r="M10" s="53">
        <v>5</v>
      </c>
      <c r="N10" s="53">
        <v>10</v>
      </c>
      <c r="O10" s="53">
        <v>5</v>
      </c>
      <c r="P10" s="53">
        <v>5</v>
      </c>
      <c r="Q10" s="53">
        <v>10</v>
      </c>
      <c r="R10" s="53">
        <v>0</v>
      </c>
      <c r="S10" s="53">
        <v>0</v>
      </c>
      <c r="T10" s="53">
        <v>0</v>
      </c>
      <c r="U10" s="54">
        <v>0</v>
      </c>
      <c r="V10" s="56"/>
      <c r="W10" s="55">
        <f t="shared" si="0"/>
        <v>100</v>
      </c>
      <c r="X10" t="s">
        <v>162</v>
      </c>
    </row>
    <row r="11" spans="1:24" ht="15.6" x14ac:dyDescent="0.3">
      <c r="A11" s="60" t="s">
        <v>91</v>
      </c>
      <c r="B11" s="53">
        <v>3</v>
      </c>
      <c r="C11" s="53">
        <v>4</v>
      </c>
      <c r="D11" s="53">
        <v>6</v>
      </c>
      <c r="E11" s="53">
        <v>6</v>
      </c>
      <c r="F11" s="53">
        <v>0</v>
      </c>
      <c r="G11" s="53">
        <v>5</v>
      </c>
      <c r="H11" s="53">
        <v>5</v>
      </c>
      <c r="I11" s="53">
        <v>5</v>
      </c>
      <c r="J11" s="53">
        <v>10</v>
      </c>
      <c r="K11" s="53">
        <v>5</v>
      </c>
      <c r="L11" s="53">
        <v>10</v>
      </c>
      <c r="M11" s="53">
        <v>5</v>
      </c>
      <c r="N11" s="53">
        <v>10</v>
      </c>
      <c r="O11" s="53">
        <v>0</v>
      </c>
      <c r="P11" s="53">
        <v>5</v>
      </c>
      <c r="Q11" s="53">
        <v>6</v>
      </c>
      <c r="R11" s="53">
        <v>0</v>
      </c>
      <c r="S11" s="53">
        <v>0</v>
      </c>
      <c r="T11" s="53">
        <v>0</v>
      </c>
      <c r="U11" s="54">
        <v>0</v>
      </c>
      <c r="V11" s="56"/>
      <c r="W11" s="55">
        <f t="shared" si="0"/>
        <v>85</v>
      </c>
    </row>
    <row r="12" spans="1:24" ht="15.6" x14ac:dyDescent="0.3">
      <c r="A12" s="64" t="s">
        <v>92</v>
      </c>
      <c r="B12" s="53">
        <v>3</v>
      </c>
      <c r="C12" s="53">
        <v>4</v>
      </c>
      <c r="D12" s="53">
        <v>6</v>
      </c>
      <c r="E12" s="53">
        <v>6</v>
      </c>
      <c r="F12" s="53">
        <v>6</v>
      </c>
      <c r="G12" s="53">
        <v>5</v>
      </c>
      <c r="H12" s="53">
        <v>5</v>
      </c>
      <c r="I12" s="53">
        <v>5</v>
      </c>
      <c r="J12" s="53">
        <v>5</v>
      </c>
      <c r="K12" s="53">
        <v>5</v>
      </c>
      <c r="L12" s="53">
        <v>10</v>
      </c>
      <c r="M12" s="53">
        <v>5</v>
      </c>
      <c r="N12" s="53">
        <v>10</v>
      </c>
      <c r="O12" s="53">
        <v>0</v>
      </c>
      <c r="P12" s="53">
        <v>5</v>
      </c>
      <c r="Q12" s="53">
        <v>10</v>
      </c>
      <c r="R12" s="53">
        <v>5</v>
      </c>
      <c r="S12" s="53">
        <v>0</v>
      </c>
      <c r="T12" s="53">
        <v>0</v>
      </c>
      <c r="U12" s="54">
        <v>0</v>
      </c>
      <c r="V12" s="56"/>
      <c r="W12" s="55">
        <f t="shared" si="0"/>
        <v>95</v>
      </c>
    </row>
    <row r="13" spans="1:24" ht="15.6" x14ac:dyDescent="0.3">
      <c r="A13" s="60" t="s">
        <v>93</v>
      </c>
      <c r="B13" s="53">
        <v>3</v>
      </c>
      <c r="C13" s="53">
        <v>4</v>
      </c>
      <c r="D13" s="53">
        <v>6</v>
      </c>
      <c r="E13" s="53">
        <v>6</v>
      </c>
      <c r="F13" s="53">
        <v>6</v>
      </c>
      <c r="G13" s="53">
        <v>5</v>
      </c>
      <c r="H13" s="53">
        <v>5</v>
      </c>
      <c r="I13" s="53">
        <v>5</v>
      </c>
      <c r="J13" s="53">
        <v>10</v>
      </c>
      <c r="K13" s="53">
        <v>5</v>
      </c>
      <c r="L13" s="53">
        <v>10</v>
      </c>
      <c r="M13" s="53">
        <v>5</v>
      </c>
      <c r="N13" s="53">
        <v>10</v>
      </c>
      <c r="O13" s="53">
        <v>5</v>
      </c>
      <c r="P13" s="53">
        <v>5</v>
      </c>
      <c r="Q13" s="53">
        <v>10</v>
      </c>
      <c r="R13" s="53">
        <v>0</v>
      </c>
      <c r="S13" s="53">
        <v>0</v>
      </c>
      <c r="T13" s="53">
        <v>0</v>
      </c>
      <c r="U13" s="54">
        <v>0</v>
      </c>
      <c r="V13" s="56"/>
      <c r="W13" s="55">
        <f t="shared" si="0"/>
        <v>100</v>
      </c>
      <c r="X13" t="s">
        <v>162</v>
      </c>
    </row>
    <row r="14" spans="1:24" ht="15.6" x14ac:dyDescent="0.3">
      <c r="A14" s="64" t="s">
        <v>94</v>
      </c>
      <c r="B14" s="53">
        <v>3</v>
      </c>
      <c r="C14" s="53">
        <v>4</v>
      </c>
      <c r="D14" s="53">
        <v>6</v>
      </c>
      <c r="E14" s="53">
        <v>6</v>
      </c>
      <c r="F14" s="53">
        <v>6</v>
      </c>
      <c r="G14" s="53">
        <v>5</v>
      </c>
      <c r="H14" s="53">
        <v>5</v>
      </c>
      <c r="I14" s="53">
        <v>5</v>
      </c>
      <c r="J14" s="53">
        <v>5</v>
      </c>
      <c r="K14" s="53">
        <v>5</v>
      </c>
      <c r="L14" s="53">
        <v>10</v>
      </c>
      <c r="M14" s="53">
        <v>5</v>
      </c>
      <c r="N14" s="53">
        <v>10</v>
      </c>
      <c r="O14" s="53">
        <v>5</v>
      </c>
      <c r="P14" s="53">
        <v>5</v>
      </c>
      <c r="Q14" s="53">
        <v>6</v>
      </c>
      <c r="R14" s="53">
        <v>0</v>
      </c>
      <c r="S14" s="53">
        <v>0</v>
      </c>
      <c r="T14" s="53">
        <v>0</v>
      </c>
      <c r="U14" s="54">
        <v>0</v>
      </c>
      <c r="V14" s="56"/>
      <c r="W14" s="55">
        <f t="shared" si="0"/>
        <v>91</v>
      </c>
    </row>
    <row r="15" spans="1:24" ht="15.6" x14ac:dyDescent="0.3">
      <c r="A15" s="60" t="s">
        <v>95</v>
      </c>
      <c r="B15" s="53">
        <v>3</v>
      </c>
      <c r="C15" s="53">
        <v>4</v>
      </c>
      <c r="D15" s="53">
        <v>3</v>
      </c>
      <c r="E15" s="53">
        <v>6</v>
      </c>
      <c r="F15" s="53">
        <v>0</v>
      </c>
      <c r="G15" s="53">
        <v>5</v>
      </c>
      <c r="H15" s="53">
        <v>5</v>
      </c>
      <c r="I15" s="53">
        <v>5</v>
      </c>
      <c r="J15" s="53">
        <v>10</v>
      </c>
      <c r="K15" s="53">
        <v>0</v>
      </c>
      <c r="L15" s="53">
        <v>4</v>
      </c>
      <c r="M15" s="53">
        <v>0</v>
      </c>
      <c r="N15" s="53">
        <v>4</v>
      </c>
      <c r="O15" s="53">
        <v>3</v>
      </c>
      <c r="P15" s="53">
        <v>5</v>
      </c>
      <c r="Q15" s="53">
        <v>10</v>
      </c>
      <c r="R15" s="53">
        <v>0</v>
      </c>
      <c r="S15" s="53">
        <v>0</v>
      </c>
      <c r="T15" s="53">
        <v>0</v>
      </c>
      <c r="U15" s="54">
        <v>0</v>
      </c>
      <c r="V15" s="56"/>
      <c r="W15" s="55">
        <f t="shared" si="0"/>
        <v>67</v>
      </c>
    </row>
    <row r="16" spans="1:24" ht="15.6" x14ac:dyDescent="0.3">
      <c r="A16" s="64" t="s">
        <v>96</v>
      </c>
      <c r="B16" s="53">
        <v>0</v>
      </c>
      <c r="C16" s="53">
        <v>4</v>
      </c>
      <c r="D16" s="53">
        <v>3</v>
      </c>
      <c r="E16" s="53">
        <v>6</v>
      </c>
      <c r="F16" s="53">
        <v>6</v>
      </c>
      <c r="G16" s="53">
        <v>5</v>
      </c>
      <c r="H16" s="53">
        <v>5</v>
      </c>
      <c r="I16" s="53">
        <v>5</v>
      </c>
      <c r="J16" s="53">
        <v>10</v>
      </c>
      <c r="K16" s="53">
        <v>0</v>
      </c>
      <c r="L16" s="53">
        <v>10</v>
      </c>
      <c r="M16" s="53">
        <v>0</v>
      </c>
      <c r="N16" s="53">
        <v>10</v>
      </c>
      <c r="O16" s="53">
        <v>5</v>
      </c>
      <c r="P16" s="53">
        <v>5</v>
      </c>
      <c r="Q16" s="53">
        <v>10</v>
      </c>
      <c r="R16" s="53">
        <v>0</v>
      </c>
      <c r="S16" s="53">
        <v>0</v>
      </c>
      <c r="T16" s="53">
        <v>0</v>
      </c>
      <c r="U16" s="54">
        <v>0</v>
      </c>
      <c r="V16" s="56"/>
      <c r="W16" s="55">
        <f t="shared" si="0"/>
        <v>84</v>
      </c>
    </row>
    <row r="17" spans="1:23" ht="15.6" x14ac:dyDescent="0.3">
      <c r="A17" s="60" t="s">
        <v>113</v>
      </c>
      <c r="B17" s="53">
        <v>3</v>
      </c>
      <c r="C17" s="53">
        <v>2</v>
      </c>
      <c r="D17" s="53">
        <v>3</v>
      </c>
      <c r="E17" s="53">
        <v>6</v>
      </c>
      <c r="F17" s="53">
        <v>6</v>
      </c>
      <c r="G17" s="53">
        <v>5</v>
      </c>
      <c r="H17" s="53">
        <v>5</v>
      </c>
      <c r="I17" s="53">
        <v>0</v>
      </c>
      <c r="J17" s="53">
        <v>10</v>
      </c>
      <c r="K17" s="53">
        <v>5</v>
      </c>
      <c r="L17" s="53">
        <v>6</v>
      </c>
      <c r="M17" s="53">
        <v>5</v>
      </c>
      <c r="N17" s="53">
        <v>6</v>
      </c>
      <c r="O17" s="53">
        <v>3</v>
      </c>
      <c r="P17" s="53">
        <v>5</v>
      </c>
      <c r="Q17" s="53">
        <v>10</v>
      </c>
      <c r="R17" s="53">
        <v>5</v>
      </c>
      <c r="S17" s="53">
        <v>0</v>
      </c>
      <c r="T17" s="53">
        <v>0</v>
      </c>
      <c r="U17" s="54">
        <v>0</v>
      </c>
      <c r="V17" s="56"/>
      <c r="W17" s="55">
        <f t="shared" ref="W17:W18" si="1">+SUM(B17:U17)</f>
        <v>85</v>
      </c>
    </row>
    <row r="18" spans="1:23" ht="15.6" x14ac:dyDescent="0.3">
      <c r="A18" s="64" t="s">
        <v>115</v>
      </c>
      <c r="B18" s="53">
        <v>3</v>
      </c>
      <c r="C18" s="53">
        <v>2</v>
      </c>
      <c r="D18" s="53">
        <v>3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5</v>
      </c>
      <c r="K18" s="53">
        <v>5</v>
      </c>
      <c r="L18" s="53">
        <v>4</v>
      </c>
      <c r="M18" s="53">
        <v>5</v>
      </c>
      <c r="N18" s="53">
        <v>4</v>
      </c>
      <c r="O18" s="53">
        <v>0</v>
      </c>
      <c r="P18" s="53">
        <v>5</v>
      </c>
      <c r="Q18" s="53">
        <v>0</v>
      </c>
      <c r="R18" s="53">
        <v>0</v>
      </c>
      <c r="S18" s="53">
        <v>0</v>
      </c>
      <c r="T18" s="53">
        <v>0</v>
      </c>
      <c r="U18" s="54">
        <v>-10</v>
      </c>
      <c r="V18" s="57"/>
      <c r="W18" s="55">
        <f t="shared" si="1"/>
        <v>26</v>
      </c>
    </row>
  </sheetData>
  <mergeCells count="2">
    <mergeCell ref="B1:U1"/>
    <mergeCell ref="B3:U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EF37-3993-4889-A698-E42DED18EF08}">
  <dimension ref="A1:X18"/>
  <sheetViews>
    <sheetView showGridLines="0" topLeftCell="E1" zoomScale="72" workbookViewId="0">
      <selection activeCell="X4" sqref="X4"/>
    </sheetView>
  </sheetViews>
  <sheetFormatPr baseColWidth="10" defaultRowHeight="14.4" x14ac:dyDescent="0.3"/>
  <cols>
    <col min="5" max="5" width="16.77734375" customWidth="1"/>
    <col min="9" max="9" width="12.6640625" customWidth="1"/>
    <col min="13" max="13" width="15.109375" customWidth="1"/>
    <col min="14" max="14" width="13.88671875" customWidth="1"/>
    <col min="20" max="20" width="10.109375" bestFit="1" customWidth="1"/>
    <col min="24" max="24" width="59.109375" bestFit="1" customWidth="1"/>
  </cols>
  <sheetData>
    <row r="1" spans="1:24" x14ac:dyDescent="0.3">
      <c r="A1" s="52"/>
      <c r="B1" s="73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52"/>
      <c r="W1" s="62"/>
    </row>
    <row r="2" spans="1:24" ht="62.4" x14ac:dyDescent="0.3">
      <c r="A2" s="61" t="s">
        <v>150</v>
      </c>
      <c r="B2" s="58" t="s">
        <v>3</v>
      </c>
      <c r="C2" s="58" t="s">
        <v>7</v>
      </c>
      <c r="D2" s="58" t="s">
        <v>11</v>
      </c>
      <c r="E2" s="58" t="s">
        <v>20</v>
      </c>
      <c r="F2" s="58" t="s">
        <v>29</v>
      </c>
      <c r="G2" s="58" t="s">
        <v>34</v>
      </c>
      <c r="H2" s="58" t="s">
        <v>39</v>
      </c>
      <c r="I2" s="58" t="s">
        <v>43</v>
      </c>
      <c r="J2" s="58" t="s">
        <v>52</v>
      </c>
      <c r="K2" s="58" t="s">
        <v>57</v>
      </c>
      <c r="L2" s="58" t="s">
        <v>60</v>
      </c>
      <c r="M2" s="58" t="s">
        <v>68</v>
      </c>
      <c r="N2" s="58" t="s">
        <v>71</v>
      </c>
      <c r="O2" s="58" t="s">
        <v>72</v>
      </c>
      <c r="P2" s="58" t="s">
        <v>77</v>
      </c>
      <c r="Q2" s="58" t="s">
        <v>80</v>
      </c>
      <c r="R2" s="58" t="s">
        <v>151</v>
      </c>
      <c r="S2" s="58" t="s">
        <v>152</v>
      </c>
      <c r="T2" s="58" t="s">
        <v>153</v>
      </c>
      <c r="U2" s="58" t="s">
        <v>154</v>
      </c>
      <c r="V2" s="63"/>
      <c r="W2" s="58" t="s">
        <v>155</v>
      </c>
    </row>
    <row r="3" spans="1:24" ht="15.6" x14ac:dyDescent="0.3">
      <c r="A3" s="60" t="s">
        <v>97</v>
      </c>
      <c r="B3" s="53">
        <v>3</v>
      </c>
      <c r="C3" s="53">
        <v>2</v>
      </c>
      <c r="D3" s="53">
        <v>6</v>
      </c>
      <c r="E3" s="53">
        <v>6</v>
      </c>
      <c r="F3" s="53">
        <v>0</v>
      </c>
      <c r="G3" s="53">
        <v>5</v>
      </c>
      <c r="H3" s="53">
        <v>5</v>
      </c>
      <c r="I3" s="53">
        <v>5</v>
      </c>
      <c r="J3" s="53">
        <v>10</v>
      </c>
      <c r="K3" s="53">
        <v>5</v>
      </c>
      <c r="L3" s="53">
        <v>10</v>
      </c>
      <c r="M3" s="53">
        <v>5</v>
      </c>
      <c r="N3" s="53">
        <v>6</v>
      </c>
      <c r="O3" s="53">
        <v>0</v>
      </c>
      <c r="P3" s="53">
        <v>5</v>
      </c>
      <c r="Q3" s="53">
        <v>10</v>
      </c>
      <c r="R3" s="53">
        <v>5</v>
      </c>
      <c r="S3" s="53">
        <v>-3</v>
      </c>
      <c r="T3" s="53">
        <v>0</v>
      </c>
      <c r="U3" s="54">
        <v>0</v>
      </c>
      <c r="V3" s="56"/>
      <c r="W3" s="55">
        <f>+SUM(B3:U3)</f>
        <v>85</v>
      </c>
    </row>
    <row r="4" spans="1:24" ht="15.6" customHeight="1" x14ac:dyDescent="0.3">
      <c r="A4" s="64" t="s">
        <v>99</v>
      </c>
      <c r="B4" s="53">
        <v>3</v>
      </c>
      <c r="C4" s="53">
        <v>4</v>
      </c>
      <c r="D4" s="53">
        <v>6</v>
      </c>
      <c r="E4" s="53">
        <v>6</v>
      </c>
      <c r="F4" s="53">
        <v>6</v>
      </c>
      <c r="G4" s="53">
        <v>5</v>
      </c>
      <c r="H4" s="53">
        <v>5</v>
      </c>
      <c r="I4" s="53">
        <v>5</v>
      </c>
      <c r="J4" s="53">
        <v>10</v>
      </c>
      <c r="K4" s="53">
        <v>5</v>
      </c>
      <c r="L4" s="53">
        <v>10</v>
      </c>
      <c r="M4" s="53">
        <v>5</v>
      </c>
      <c r="N4" s="53">
        <v>8</v>
      </c>
      <c r="O4" s="53">
        <v>5</v>
      </c>
      <c r="P4" s="53">
        <v>5</v>
      </c>
      <c r="Q4" s="53">
        <v>10</v>
      </c>
      <c r="R4" s="53">
        <v>2</v>
      </c>
      <c r="S4" s="53">
        <v>0</v>
      </c>
      <c r="T4" s="53">
        <v>0</v>
      </c>
      <c r="U4" s="54">
        <v>0</v>
      </c>
      <c r="V4" s="56"/>
      <c r="W4" s="55">
        <f t="shared" ref="W4:W17" si="0">+SUM(B4:U4)</f>
        <v>100</v>
      </c>
      <c r="X4" s="105" t="s">
        <v>158</v>
      </c>
    </row>
    <row r="5" spans="1:24" ht="15.6" x14ac:dyDescent="0.3">
      <c r="A5" s="60" t="s">
        <v>100</v>
      </c>
      <c r="B5" s="53">
        <v>3</v>
      </c>
      <c r="C5" s="53">
        <v>4</v>
      </c>
      <c r="D5" s="53">
        <v>6</v>
      </c>
      <c r="E5" s="53">
        <v>0</v>
      </c>
      <c r="F5" s="53">
        <v>0</v>
      </c>
      <c r="G5" s="53">
        <v>5</v>
      </c>
      <c r="H5" s="53">
        <v>5</v>
      </c>
      <c r="I5" s="53">
        <v>0</v>
      </c>
      <c r="J5" s="53">
        <v>10</v>
      </c>
      <c r="K5" s="53">
        <v>5</v>
      </c>
      <c r="L5" s="53">
        <v>6</v>
      </c>
      <c r="M5" s="53">
        <v>5</v>
      </c>
      <c r="N5" s="53">
        <v>10</v>
      </c>
      <c r="O5" s="53">
        <v>0</v>
      </c>
      <c r="P5" s="53">
        <v>5</v>
      </c>
      <c r="Q5" s="53">
        <v>10</v>
      </c>
      <c r="R5" s="53">
        <v>3</v>
      </c>
      <c r="S5" s="53">
        <v>0</v>
      </c>
      <c r="T5" s="53">
        <v>0</v>
      </c>
      <c r="U5" s="54">
        <v>0</v>
      </c>
      <c r="V5" s="56"/>
      <c r="W5" s="55">
        <f t="shared" si="0"/>
        <v>77</v>
      </c>
      <c r="X5" s="105"/>
    </row>
    <row r="6" spans="1:24" ht="15.6" x14ac:dyDescent="0.3">
      <c r="A6" s="64" t="s">
        <v>101</v>
      </c>
      <c r="B6" s="53">
        <v>3</v>
      </c>
      <c r="C6" s="53">
        <v>4</v>
      </c>
      <c r="D6" s="53">
        <v>6</v>
      </c>
      <c r="E6" s="53">
        <v>6</v>
      </c>
      <c r="F6" s="53">
        <v>6</v>
      </c>
      <c r="G6" s="53">
        <v>5</v>
      </c>
      <c r="H6" s="53">
        <v>5</v>
      </c>
      <c r="I6" s="53">
        <v>5</v>
      </c>
      <c r="J6" s="53">
        <v>10</v>
      </c>
      <c r="K6" s="53">
        <v>5</v>
      </c>
      <c r="L6" s="53">
        <v>10</v>
      </c>
      <c r="M6" s="53">
        <v>5</v>
      </c>
      <c r="N6" s="53">
        <v>10</v>
      </c>
      <c r="O6" s="53">
        <v>5</v>
      </c>
      <c r="P6" s="53">
        <v>5</v>
      </c>
      <c r="Q6" s="53">
        <v>10</v>
      </c>
      <c r="R6" s="53">
        <v>0</v>
      </c>
      <c r="S6" s="53">
        <v>0</v>
      </c>
      <c r="T6" s="53">
        <v>0</v>
      </c>
      <c r="U6" s="54">
        <v>0</v>
      </c>
      <c r="V6" s="56"/>
      <c r="W6" s="55">
        <f t="shared" si="0"/>
        <v>100</v>
      </c>
    </row>
    <row r="7" spans="1:24" ht="15.6" x14ac:dyDescent="0.3">
      <c r="A7" s="60" t="s">
        <v>102</v>
      </c>
      <c r="B7" s="53">
        <v>3</v>
      </c>
      <c r="C7" s="53">
        <v>0</v>
      </c>
      <c r="D7" s="53">
        <v>6</v>
      </c>
      <c r="E7" s="53">
        <v>0</v>
      </c>
      <c r="F7" s="53">
        <v>0</v>
      </c>
      <c r="G7" s="53">
        <v>5</v>
      </c>
      <c r="H7" s="53">
        <v>5</v>
      </c>
      <c r="I7" s="53">
        <v>5</v>
      </c>
      <c r="J7" s="53">
        <v>10</v>
      </c>
      <c r="K7" s="53">
        <v>5</v>
      </c>
      <c r="L7" s="53">
        <v>10</v>
      </c>
      <c r="M7" s="53">
        <v>5</v>
      </c>
      <c r="N7" s="53">
        <v>10</v>
      </c>
      <c r="O7" s="53">
        <v>0</v>
      </c>
      <c r="P7" s="53">
        <v>5</v>
      </c>
      <c r="Q7" s="53">
        <v>8</v>
      </c>
      <c r="R7" s="53">
        <v>5</v>
      </c>
      <c r="S7" s="53">
        <v>0</v>
      </c>
      <c r="T7" s="53">
        <v>0</v>
      </c>
      <c r="U7" s="54">
        <v>0</v>
      </c>
      <c r="V7" s="56"/>
      <c r="W7" s="55">
        <f t="shared" si="0"/>
        <v>82</v>
      </c>
    </row>
    <row r="8" spans="1:24" ht="15.6" x14ac:dyDescent="0.3">
      <c r="A8" s="64" t="s">
        <v>103</v>
      </c>
      <c r="B8" s="53">
        <v>3</v>
      </c>
      <c r="C8" s="53">
        <v>4</v>
      </c>
      <c r="D8" s="53">
        <v>6</v>
      </c>
      <c r="E8" s="53">
        <v>6</v>
      </c>
      <c r="F8" s="53">
        <v>0</v>
      </c>
      <c r="G8" s="53">
        <v>0</v>
      </c>
      <c r="H8" s="53">
        <v>5</v>
      </c>
      <c r="I8" s="53">
        <v>5</v>
      </c>
      <c r="J8" s="53">
        <v>10</v>
      </c>
      <c r="K8" s="53">
        <v>5</v>
      </c>
      <c r="L8" s="53">
        <v>4</v>
      </c>
      <c r="M8" s="53">
        <v>5</v>
      </c>
      <c r="N8" s="53">
        <v>4</v>
      </c>
      <c r="O8" s="53">
        <v>5</v>
      </c>
      <c r="P8" s="53">
        <v>5</v>
      </c>
      <c r="Q8" s="53">
        <v>10</v>
      </c>
      <c r="R8" s="53">
        <v>5</v>
      </c>
      <c r="S8" s="53">
        <v>0</v>
      </c>
      <c r="T8" s="53">
        <v>0</v>
      </c>
      <c r="U8" s="54">
        <v>-30</v>
      </c>
      <c r="V8" s="56"/>
      <c r="W8" s="55">
        <f t="shared" si="0"/>
        <v>52</v>
      </c>
    </row>
    <row r="9" spans="1:24" ht="15.6" x14ac:dyDescent="0.3">
      <c r="A9" s="60" t="s">
        <v>104</v>
      </c>
      <c r="B9" s="53">
        <v>3</v>
      </c>
      <c r="C9" s="53">
        <v>4</v>
      </c>
      <c r="D9" s="53">
        <v>6</v>
      </c>
      <c r="E9" s="53">
        <v>6</v>
      </c>
      <c r="F9" s="53">
        <v>0</v>
      </c>
      <c r="G9" s="53">
        <v>5</v>
      </c>
      <c r="H9" s="53">
        <v>5</v>
      </c>
      <c r="I9" s="53">
        <v>0</v>
      </c>
      <c r="J9" s="53">
        <v>0</v>
      </c>
      <c r="K9" s="53">
        <v>5</v>
      </c>
      <c r="L9" s="53">
        <v>10</v>
      </c>
      <c r="M9" s="53">
        <v>5</v>
      </c>
      <c r="N9" s="53">
        <v>10</v>
      </c>
      <c r="O9" s="53">
        <v>5</v>
      </c>
      <c r="P9" s="53">
        <v>5</v>
      </c>
      <c r="Q9" s="53">
        <v>10</v>
      </c>
      <c r="R9" s="53">
        <v>1</v>
      </c>
      <c r="S9" s="53">
        <v>0</v>
      </c>
      <c r="T9" s="53">
        <v>0</v>
      </c>
      <c r="U9" s="54">
        <v>0</v>
      </c>
      <c r="V9" s="56"/>
      <c r="W9" s="55">
        <f t="shared" si="0"/>
        <v>80</v>
      </c>
    </row>
    <row r="10" spans="1:24" ht="15.6" x14ac:dyDescent="0.3">
      <c r="A10" s="64" t="s">
        <v>105</v>
      </c>
      <c r="B10" s="53">
        <v>3</v>
      </c>
      <c r="C10" s="53">
        <v>4</v>
      </c>
      <c r="D10" s="53">
        <v>0</v>
      </c>
      <c r="E10" s="53">
        <v>0</v>
      </c>
      <c r="F10" s="53">
        <v>0</v>
      </c>
      <c r="G10" s="53">
        <v>5</v>
      </c>
      <c r="H10" s="53">
        <v>5</v>
      </c>
      <c r="I10" s="53">
        <v>0</v>
      </c>
      <c r="J10" s="53">
        <v>0</v>
      </c>
      <c r="K10" s="53">
        <v>5</v>
      </c>
      <c r="L10" s="53">
        <v>10</v>
      </c>
      <c r="M10" s="53">
        <v>5</v>
      </c>
      <c r="N10" s="53">
        <v>4</v>
      </c>
      <c r="O10" s="53">
        <v>0</v>
      </c>
      <c r="P10" s="53">
        <v>5</v>
      </c>
      <c r="Q10" s="53">
        <v>10</v>
      </c>
      <c r="R10" s="53">
        <v>5</v>
      </c>
      <c r="S10" s="53">
        <v>0</v>
      </c>
      <c r="T10" s="53">
        <v>0</v>
      </c>
      <c r="U10" s="54">
        <v>0</v>
      </c>
      <c r="V10" s="56"/>
      <c r="W10" s="55">
        <f t="shared" si="0"/>
        <v>61</v>
      </c>
    </row>
    <row r="11" spans="1:24" ht="15.6" x14ac:dyDescent="0.3">
      <c r="A11" s="60" t="s">
        <v>106</v>
      </c>
      <c r="B11" s="97" t="s">
        <v>159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9"/>
      <c r="V11" s="56"/>
      <c r="W11" s="55"/>
    </row>
    <row r="12" spans="1:24" ht="15.6" x14ac:dyDescent="0.3">
      <c r="A12" s="64" t="s">
        <v>107</v>
      </c>
      <c r="B12" s="53">
        <v>3</v>
      </c>
      <c r="C12" s="53">
        <v>4</v>
      </c>
      <c r="D12" s="53">
        <v>6</v>
      </c>
      <c r="E12" s="53">
        <v>6</v>
      </c>
      <c r="F12" s="53">
        <v>6</v>
      </c>
      <c r="G12" s="53">
        <v>5</v>
      </c>
      <c r="H12" s="53">
        <v>5</v>
      </c>
      <c r="I12" s="53">
        <v>5</v>
      </c>
      <c r="J12" s="53">
        <v>10</v>
      </c>
      <c r="K12" s="53">
        <v>5</v>
      </c>
      <c r="L12" s="53">
        <v>10</v>
      </c>
      <c r="M12" s="53">
        <v>5</v>
      </c>
      <c r="N12" s="53">
        <v>10</v>
      </c>
      <c r="O12" s="53">
        <v>5</v>
      </c>
      <c r="P12" s="53">
        <v>5</v>
      </c>
      <c r="Q12" s="53">
        <v>10</v>
      </c>
      <c r="R12" s="53">
        <v>5</v>
      </c>
      <c r="S12" s="53">
        <v>-20</v>
      </c>
      <c r="T12" s="53">
        <v>0</v>
      </c>
      <c r="U12" s="54">
        <v>0</v>
      </c>
      <c r="V12" s="56"/>
      <c r="W12" s="55">
        <f t="shared" si="0"/>
        <v>85</v>
      </c>
    </row>
    <row r="13" spans="1:24" ht="15.6" x14ac:dyDescent="0.3">
      <c r="A13" s="60" t="s">
        <v>108</v>
      </c>
      <c r="B13" s="53">
        <v>3</v>
      </c>
      <c r="C13" s="53">
        <v>4</v>
      </c>
      <c r="D13" s="53">
        <v>6</v>
      </c>
      <c r="E13" s="53">
        <v>6</v>
      </c>
      <c r="F13" s="53">
        <v>6</v>
      </c>
      <c r="G13" s="53">
        <v>5</v>
      </c>
      <c r="H13" s="53">
        <v>5</v>
      </c>
      <c r="I13" s="53">
        <v>0</v>
      </c>
      <c r="J13" s="53">
        <v>5</v>
      </c>
      <c r="K13" s="53">
        <v>5</v>
      </c>
      <c r="L13" s="53">
        <v>10</v>
      </c>
      <c r="M13" s="53">
        <v>5</v>
      </c>
      <c r="N13" s="53">
        <v>10</v>
      </c>
      <c r="O13" s="53">
        <v>0</v>
      </c>
      <c r="P13" s="53">
        <v>5</v>
      </c>
      <c r="Q13" s="53">
        <v>10</v>
      </c>
      <c r="R13" s="53">
        <v>0</v>
      </c>
      <c r="S13" s="53">
        <v>0</v>
      </c>
      <c r="T13" s="53">
        <v>0</v>
      </c>
      <c r="U13" s="54">
        <v>0</v>
      </c>
      <c r="V13" s="56"/>
      <c r="W13" s="55">
        <f t="shared" si="0"/>
        <v>85</v>
      </c>
    </row>
    <row r="14" spans="1:24" ht="15.6" x14ac:dyDescent="0.3">
      <c r="A14" s="64" t="s">
        <v>109</v>
      </c>
      <c r="B14" s="53">
        <v>3</v>
      </c>
      <c r="C14" s="53">
        <v>4</v>
      </c>
      <c r="D14" s="53">
        <v>0</v>
      </c>
      <c r="E14" s="53">
        <v>0</v>
      </c>
      <c r="F14" s="53">
        <v>0</v>
      </c>
      <c r="G14" s="53">
        <v>5</v>
      </c>
      <c r="H14" s="53">
        <v>5</v>
      </c>
      <c r="I14" s="53">
        <v>0</v>
      </c>
      <c r="J14" s="53">
        <v>10</v>
      </c>
      <c r="K14" s="53">
        <v>5</v>
      </c>
      <c r="L14" s="53">
        <v>4</v>
      </c>
      <c r="M14" s="53">
        <v>5</v>
      </c>
      <c r="N14" s="53">
        <v>6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4">
        <v>-10</v>
      </c>
      <c r="V14" s="56"/>
      <c r="W14" s="55">
        <f t="shared" si="0"/>
        <v>37</v>
      </c>
    </row>
    <row r="15" spans="1:24" ht="15.6" x14ac:dyDescent="0.3">
      <c r="A15" s="60" t="s">
        <v>110</v>
      </c>
      <c r="B15" s="53">
        <v>3</v>
      </c>
      <c r="C15" s="53">
        <v>4</v>
      </c>
      <c r="D15" s="53">
        <v>6</v>
      </c>
      <c r="E15" s="53">
        <v>0</v>
      </c>
      <c r="F15" s="53">
        <v>0</v>
      </c>
      <c r="G15" s="53">
        <v>5</v>
      </c>
      <c r="H15" s="53">
        <v>5</v>
      </c>
      <c r="I15" s="53">
        <v>0</v>
      </c>
      <c r="J15" s="53">
        <v>0</v>
      </c>
      <c r="K15" s="53">
        <v>5</v>
      </c>
      <c r="L15" s="53">
        <v>10</v>
      </c>
      <c r="M15" s="53">
        <v>5</v>
      </c>
      <c r="N15" s="53">
        <v>6</v>
      </c>
      <c r="O15" s="53">
        <v>0</v>
      </c>
      <c r="P15" s="53">
        <v>5</v>
      </c>
      <c r="Q15" s="53">
        <v>0</v>
      </c>
      <c r="R15" s="53">
        <v>5</v>
      </c>
      <c r="S15" s="53">
        <v>0</v>
      </c>
      <c r="T15" s="53">
        <v>0</v>
      </c>
      <c r="U15" s="54">
        <v>0</v>
      </c>
      <c r="V15" s="56"/>
      <c r="W15" s="55">
        <f t="shared" si="0"/>
        <v>59</v>
      </c>
    </row>
    <row r="16" spans="1:24" ht="15.6" x14ac:dyDescent="0.3">
      <c r="A16" s="64" t="s">
        <v>111</v>
      </c>
      <c r="B16" s="97" t="s">
        <v>160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9"/>
      <c r="V16" s="56"/>
      <c r="W16" s="55"/>
    </row>
    <row r="17" spans="1:23" ht="15.6" x14ac:dyDescent="0.3">
      <c r="A17" s="60" t="s">
        <v>112</v>
      </c>
      <c r="B17" s="53">
        <v>3</v>
      </c>
      <c r="C17" s="53">
        <v>4</v>
      </c>
      <c r="D17" s="53">
        <v>6</v>
      </c>
      <c r="E17" s="53">
        <v>6</v>
      </c>
      <c r="F17" s="53">
        <v>6</v>
      </c>
      <c r="G17" s="53">
        <v>5</v>
      </c>
      <c r="H17" s="53">
        <v>5</v>
      </c>
      <c r="I17" s="53">
        <v>5</v>
      </c>
      <c r="J17" s="53">
        <v>5</v>
      </c>
      <c r="K17" s="53">
        <v>5</v>
      </c>
      <c r="L17" s="53">
        <v>10</v>
      </c>
      <c r="M17" s="53">
        <v>5</v>
      </c>
      <c r="N17" s="53">
        <v>10</v>
      </c>
      <c r="O17" s="53">
        <v>5</v>
      </c>
      <c r="P17" s="53">
        <v>5</v>
      </c>
      <c r="Q17" s="53">
        <v>10</v>
      </c>
      <c r="R17" s="53">
        <v>0</v>
      </c>
      <c r="S17" s="53">
        <v>0</v>
      </c>
      <c r="T17" s="53">
        <v>0</v>
      </c>
      <c r="U17" s="54">
        <v>0</v>
      </c>
      <c r="V17" s="56"/>
      <c r="W17" s="55">
        <f t="shared" si="0"/>
        <v>95</v>
      </c>
    </row>
    <row r="18" spans="1:23" ht="15.6" x14ac:dyDescent="0.3">
      <c r="A18" s="64" t="s">
        <v>114</v>
      </c>
      <c r="B18" s="97" t="s">
        <v>161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9"/>
      <c r="V18" s="57"/>
      <c r="W18" s="55"/>
    </row>
  </sheetData>
  <mergeCells count="4">
    <mergeCell ref="B1:U1"/>
    <mergeCell ref="B11:U11"/>
    <mergeCell ref="B16:U16"/>
    <mergeCell ref="B18:U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Pauta</vt:lpstr>
      <vt:lpstr>Distribución SJ</vt:lpstr>
      <vt:lpstr>Distribución CC</vt:lpstr>
      <vt:lpstr>Bayron</vt:lpstr>
      <vt:lpstr>Daniel</vt:lpstr>
      <vt:lpstr>Felipe</vt:lpstr>
      <vt:lpstr>Diego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Alarcon Carrasco (Alumno)</dc:creator>
  <cp:lastModifiedBy>Gonzalo Alarcon Carrasco (Alumno)</cp:lastModifiedBy>
  <dcterms:created xsi:type="dcterms:W3CDTF">2024-10-31T18:47:57Z</dcterms:created>
  <dcterms:modified xsi:type="dcterms:W3CDTF">2024-11-01T00:16:39Z</dcterms:modified>
</cp:coreProperties>
</file>